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206"/>
  <workbookPr showInkAnnotation="0" autoCompressPictures="0"/>
  <bookViews>
    <workbookView xWindow="0" yWindow="0" windowWidth="25600" windowHeight="13520" tabRatio="50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E24" i="5" l="1"/>
  <c r="U29" i="5"/>
  <c r="U32" i="5"/>
  <c r="U30" i="5"/>
  <c r="U28" i="5"/>
</calcChain>
</file>

<file path=xl/sharedStrings.xml><?xml version="1.0" encoding="utf-8"?>
<sst xmlns="http://schemas.openxmlformats.org/spreadsheetml/2006/main" count="394" uniqueCount="252">
  <si>
    <t>Color</t>
  </si>
  <si>
    <t>Size</t>
  </si>
  <si>
    <t>UPC</t>
  </si>
  <si>
    <t>Quantity</t>
  </si>
  <si>
    <t>Black</t>
  </si>
  <si>
    <t>Blue</t>
  </si>
  <si>
    <t>Green</t>
  </si>
  <si>
    <t>Buyer's Name : Pery</t>
  </si>
  <si>
    <t>Total order Qty  : 12000</t>
  </si>
  <si>
    <t xml:space="preserve">Total no of colors :3 </t>
  </si>
  <si>
    <t>Order Date : 10-05-2022</t>
  </si>
  <si>
    <t>ship date   : 20-08-2022</t>
  </si>
  <si>
    <t>30/30</t>
  </si>
  <si>
    <t>30/32</t>
  </si>
  <si>
    <t>29/30</t>
  </si>
  <si>
    <t>32/30</t>
  </si>
  <si>
    <t>34/30</t>
  </si>
  <si>
    <t>36/30</t>
  </si>
  <si>
    <t>32/32</t>
  </si>
  <si>
    <t>32/34</t>
  </si>
  <si>
    <t>36/34</t>
  </si>
  <si>
    <t>29/29</t>
  </si>
  <si>
    <t>30/29</t>
  </si>
  <si>
    <t>38/30</t>
  </si>
  <si>
    <t>40/30</t>
  </si>
  <si>
    <t>34/32</t>
  </si>
  <si>
    <t>38/32</t>
  </si>
  <si>
    <t>42/32</t>
  </si>
  <si>
    <t>36/36</t>
  </si>
  <si>
    <t>40/36</t>
  </si>
  <si>
    <t>44/36</t>
  </si>
  <si>
    <t>Grand total</t>
  </si>
  <si>
    <t>PO no : MK6574J9</t>
  </si>
  <si>
    <t>Style no. : KK524867</t>
  </si>
  <si>
    <t xml:space="preserve">box no 1 - 50 : </t>
  </si>
  <si>
    <t>2*760925382574, 2*760925382576 , 2*760925382578</t>
  </si>
  <si>
    <t>50 *6</t>
  </si>
  <si>
    <t xml:space="preserve">box size ( 8*7*15) cm </t>
  </si>
  <si>
    <t>box no 51-150</t>
  </si>
  <si>
    <t>12*760925383580</t>
  </si>
  <si>
    <t>100*12</t>
  </si>
  <si>
    <t>box size (12*10*22)cm</t>
  </si>
  <si>
    <t>box no 151 - 350</t>
  </si>
  <si>
    <t>box size …..</t>
  </si>
  <si>
    <t xml:space="preserve">  - - - - - -</t>
  </si>
  <si>
    <t xml:space="preserve">    - - - - - - -</t>
  </si>
  <si>
    <t xml:space="preserve">Each box will have unique id </t>
  </si>
  <si>
    <t>Total</t>
  </si>
  <si>
    <t xml:space="preserve">800 boxes </t>
  </si>
  <si>
    <t>150*14</t>
  </si>
  <si>
    <t>14 * 76025385673</t>
  </si>
  <si>
    <t>Total no of boxes :800</t>
  </si>
  <si>
    <t xml:space="preserve">box weight = 6.200kg   </t>
  </si>
  <si>
    <t xml:space="preserve">Total weight =310.00 kg </t>
  </si>
  <si>
    <t>box weight =7.800kg</t>
  </si>
  <si>
    <t xml:space="preserve">Total Weight = </t>
  </si>
  <si>
    <t xml:space="preserve">780.00kg </t>
  </si>
  <si>
    <t xml:space="preserve">Total Weight = 2300.00 kg </t>
  </si>
  <si>
    <t>BOM</t>
  </si>
  <si>
    <t xml:space="preserve">Item </t>
  </si>
  <si>
    <t>Description</t>
  </si>
  <si>
    <t>consumption</t>
  </si>
  <si>
    <t>Shell fabric</t>
  </si>
  <si>
    <t xml:space="preserve">100% polyester fabric </t>
  </si>
  <si>
    <t>tuntex</t>
  </si>
  <si>
    <t>pocketing fabric</t>
  </si>
  <si>
    <t xml:space="preserve">herringbone polyester </t>
  </si>
  <si>
    <t>inner wastband</t>
  </si>
  <si>
    <t xml:space="preserve">as perPDM </t>
  </si>
  <si>
    <t xml:space="preserve">hangtag </t>
  </si>
  <si>
    <t>paper tag</t>
  </si>
  <si>
    <t xml:space="preserve">Total requirement </t>
  </si>
  <si>
    <t xml:space="preserve">supplier </t>
  </si>
  <si>
    <t xml:space="preserve">thread body </t>
  </si>
  <si>
    <t xml:space="preserve">3x40 </t>
  </si>
  <si>
    <t>265 m</t>
  </si>
  <si>
    <t xml:space="preserve">vardman </t>
  </si>
  <si>
    <t xml:space="preserve">RP apparels </t>
  </si>
  <si>
    <t xml:space="preserve">Arragia apparels </t>
  </si>
  <si>
    <t xml:space="preserve">Buttons </t>
  </si>
  <si>
    <t xml:space="preserve">mock horn buttons </t>
  </si>
  <si>
    <t xml:space="preserve">.27 yd </t>
  </si>
  <si>
    <t>wastage</t>
  </si>
  <si>
    <t xml:space="preserve">Stock available in store </t>
  </si>
  <si>
    <t xml:space="preserve">1.5 yd /pc  </t>
  </si>
  <si>
    <t xml:space="preserve">18360 yds </t>
  </si>
  <si>
    <t xml:space="preserve">665 yds </t>
  </si>
  <si>
    <t>2608 yds</t>
  </si>
  <si>
    <t xml:space="preserve">1.34 yds </t>
  </si>
  <si>
    <t>16562 yds</t>
  </si>
  <si>
    <t xml:space="preserve">1pc </t>
  </si>
  <si>
    <t xml:space="preserve">12192 nos </t>
  </si>
  <si>
    <t>raj accesorise</t>
  </si>
  <si>
    <t xml:space="preserve">2pcs </t>
  </si>
  <si>
    <t>288pcs</t>
  </si>
  <si>
    <t>1509pcs</t>
  </si>
  <si>
    <t xml:space="preserve">23211 nos </t>
  </si>
  <si>
    <t xml:space="preserve">3243600 m </t>
  </si>
  <si>
    <t xml:space="preserve">  ----</t>
  </si>
  <si>
    <t xml:space="preserve"> ---</t>
  </si>
  <si>
    <t xml:space="preserve">  ---</t>
  </si>
  <si>
    <t xml:space="preserve">TNA of Raw material </t>
  </si>
  <si>
    <t xml:space="preserve">order placement date </t>
  </si>
  <si>
    <t xml:space="preserve">Lead time </t>
  </si>
  <si>
    <t xml:space="preserve">Inhouse Date </t>
  </si>
  <si>
    <t xml:space="preserve">Plan cut date </t>
  </si>
  <si>
    <t>20-04-2022</t>
  </si>
  <si>
    <t xml:space="preserve">40days </t>
  </si>
  <si>
    <t>30-05-2022</t>
  </si>
  <si>
    <t xml:space="preserve">TNA of sampling </t>
  </si>
  <si>
    <t>Reference no</t>
  </si>
  <si>
    <t>tun 3425</t>
  </si>
  <si>
    <t>rp 3456</t>
  </si>
  <si>
    <t>DI925sl</t>
  </si>
  <si>
    <t>DI925fgcj</t>
  </si>
  <si>
    <t xml:space="preserve">Reference </t>
  </si>
  <si>
    <t>Cu839</t>
  </si>
  <si>
    <t>Mh435</t>
  </si>
  <si>
    <t>Prototype 1</t>
  </si>
  <si>
    <t>prototype 2</t>
  </si>
  <si>
    <t xml:space="preserve">Refenence sample </t>
  </si>
  <si>
    <t xml:space="preserve">Pre production </t>
  </si>
  <si>
    <t xml:space="preserve">Size set </t>
  </si>
  <si>
    <t xml:space="preserve">TOP sample </t>
  </si>
  <si>
    <t>25-04-2022</t>
  </si>
  <si>
    <t>15-06-2022</t>
  </si>
  <si>
    <t>16-06-2022</t>
  </si>
  <si>
    <t>14-04-2022</t>
  </si>
  <si>
    <t>TNA of production</t>
  </si>
  <si>
    <t xml:space="preserve">DAY1 </t>
  </si>
  <si>
    <t>DAY 2</t>
  </si>
  <si>
    <t>DAY3</t>
  </si>
  <si>
    <t>DAY4</t>
  </si>
  <si>
    <t>DAY 5</t>
  </si>
  <si>
    <t>DAY 6</t>
  </si>
  <si>
    <t>DAY 7</t>
  </si>
  <si>
    <t xml:space="preserve">600 PCS </t>
  </si>
  <si>
    <t>DAY 8</t>
  </si>
  <si>
    <t xml:space="preserve">00 PCS </t>
  </si>
  <si>
    <t xml:space="preserve">SEWING </t>
  </si>
  <si>
    <t xml:space="preserve">FINISHING &amp; PACKING </t>
  </si>
  <si>
    <t xml:space="preserve">BLACK - 3000, </t>
  </si>
  <si>
    <t>CUT PLAN</t>
  </si>
  <si>
    <t xml:space="preserve">SIZE </t>
  </si>
  <si>
    <t>QTY</t>
  </si>
  <si>
    <t>COLOR</t>
  </si>
  <si>
    <t xml:space="preserve">BLACK </t>
  </si>
  <si>
    <t>BLACK</t>
  </si>
  <si>
    <t>BLUE</t>
  </si>
  <si>
    <t>GREEN</t>
  </si>
  <si>
    <t>TOTAL</t>
  </si>
  <si>
    <t>33/30</t>
  </si>
  <si>
    <t>33/32</t>
  </si>
  <si>
    <t>29/32</t>
  </si>
  <si>
    <t>33/34</t>
  </si>
  <si>
    <t>34/36</t>
  </si>
  <si>
    <t>38/36</t>
  </si>
  <si>
    <t>32/36</t>
  </si>
  <si>
    <t xml:space="preserve">TO CUT 2% EXTRA THAN ORDER QTY , WITH MINIMUM 1 AND MAXIMUM 15pcs </t>
  </si>
  <si>
    <t xml:space="preserve">TOTAL </t>
  </si>
  <si>
    <t>Bundle nos</t>
  </si>
  <si>
    <t xml:space="preserve">nos </t>
  </si>
  <si>
    <t>cut no 1</t>
  </si>
  <si>
    <t>1  - 624</t>
  </si>
  <si>
    <t>Bal qty</t>
  </si>
  <si>
    <t>Cut no 2</t>
  </si>
  <si>
    <t>625 - 1424</t>
  </si>
  <si>
    <t>cut no 3</t>
  </si>
  <si>
    <t>1425 - 2232</t>
  </si>
  <si>
    <t>Maximum lays =210</t>
  </si>
  <si>
    <t>cut no 5</t>
  </si>
  <si>
    <t>2233 - 2850</t>
  </si>
  <si>
    <t>2851 - 3054</t>
  </si>
  <si>
    <t xml:space="preserve">BOX ID </t>
  </si>
  <si>
    <t xml:space="preserve">cut no6 </t>
  </si>
  <si>
    <t>3055 -3058</t>
  </si>
  <si>
    <t xml:space="preserve">max Bundle size 20 + - 2 </t>
  </si>
  <si>
    <t>1  -   30</t>
  </si>
  <si>
    <t>31   -  70</t>
  </si>
  <si>
    <t>71   -   110</t>
  </si>
  <si>
    <t>111   -  140</t>
  </si>
  <si>
    <t>141   - 150</t>
  </si>
  <si>
    <t>151 - 151</t>
  </si>
  <si>
    <t xml:space="preserve">  152  - 152</t>
  </si>
  <si>
    <t>Cut no 7</t>
  </si>
  <si>
    <t>GREEN - 5000</t>
  </si>
  <si>
    <t>BLUE - 4000</t>
  </si>
  <si>
    <t>BLACK - 3000</t>
  </si>
  <si>
    <t xml:space="preserve">TO CUT </t>
  </si>
  <si>
    <t xml:space="preserve">To Cut </t>
  </si>
  <si>
    <t xml:space="preserve">To cut </t>
  </si>
  <si>
    <t>To Cut</t>
  </si>
  <si>
    <t>Date</t>
  </si>
  <si>
    <t xml:space="preserve">cut no 4 </t>
  </si>
  <si>
    <t xml:space="preserve">Date </t>
  </si>
  <si>
    <t>Cut No.8</t>
  </si>
  <si>
    <t xml:space="preserve">article nos </t>
  </si>
  <si>
    <t xml:space="preserve">bundle nos </t>
  </si>
  <si>
    <t>3060 - 7130</t>
  </si>
  <si>
    <t>153 - 182</t>
  </si>
  <si>
    <t>3060 -3671</t>
  </si>
  <si>
    <t>3672 -4871</t>
  </si>
  <si>
    <t>183 -242</t>
  </si>
  <si>
    <t>Cut No.9</t>
  </si>
  <si>
    <t>Cut No.10</t>
  </si>
  <si>
    <t>4872  - 5686</t>
  </si>
  <si>
    <t>243 - 282</t>
  </si>
  <si>
    <t>Cut No.11</t>
  </si>
  <si>
    <t>5687 - 6527</t>
  </si>
  <si>
    <t>283 - 322</t>
  </si>
  <si>
    <t xml:space="preserve">Fabric Roll nos </t>
  </si>
  <si>
    <t>1,2, 6,9,21,24</t>
  </si>
  <si>
    <t xml:space="preserve">Fabric roll nos </t>
  </si>
  <si>
    <t>Roll no</t>
  </si>
  <si>
    <t xml:space="preserve">Lays From &amp; to </t>
  </si>
  <si>
    <t xml:space="preserve">3,7,8,12,15,31,32 </t>
  </si>
  <si>
    <t>29  -59</t>
  </si>
  <si>
    <t xml:space="preserve">End bit </t>
  </si>
  <si>
    <t>60  - 78</t>
  </si>
  <si>
    <t>79  - 116</t>
  </si>
  <si>
    <t>117  - 150</t>
  </si>
  <si>
    <t>151 - 176</t>
  </si>
  <si>
    <t>177 - 208</t>
  </si>
  <si>
    <t xml:space="preserve">1.3 m </t>
  </si>
  <si>
    <t>1,89m</t>
  </si>
  <si>
    <t xml:space="preserve">2.2m </t>
  </si>
  <si>
    <t>1.5m</t>
  </si>
  <si>
    <t xml:space="preserve">1.65m </t>
  </si>
  <si>
    <t xml:space="preserve">16m </t>
  </si>
  <si>
    <t>BLUE -4000</t>
  </si>
  <si>
    <t>385 - 416</t>
  </si>
  <si>
    <t>593 -  624</t>
  </si>
  <si>
    <t>1  - 28</t>
  </si>
  <si>
    <t>209   - 236</t>
  </si>
  <si>
    <t>237  - 267</t>
  </si>
  <si>
    <t>268   -  286</t>
  </si>
  <si>
    <t>287  -324</t>
  </si>
  <si>
    <t>325  - 358</t>
  </si>
  <si>
    <t>359  - 384</t>
  </si>
  <si>
    <t>417 - 444</t>
  </si>
  <si>
    <t>445  -  475</t>
  </si>
  <si>
    <t>476  - 494</t>
  </si>
  <si>
    <t>495   - 532</t>
  </si>
  <si>
    <t>533 - 566</t>
  </si>
  <si>
    <t>567  -  592</t>
  </si>
  <si>
    <t>CUT no 1</t>
  </si>
  <si>
    <t>CUT no 2</t>
  </si>
  <si>
    <t xml:space="preserve">Eg Total no of tags used in Cut no 1 is 1104 ,    480 for bundles &amp; 624 for individual garments </t>
  </si>
  <si>
    <t>Total no of cut  parts in this  garment   - 16</t>
  </si>
  <si>
    <t>Each fabric roll  is tagged with live rfid, data stored is PO, style, length, width &amp; no of defects.</t>
  </si>
  <si>
    <t>Each bundle will have passive rfid tag with information of PO, style,cut no,  bundle no, no of pcs,no from where to where</t>
  </si>
  <si>
    <t xml:space="preserve">Live rfid tag with Data of PO, style,detail of  lays in which used , end bit length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</si>
</sst>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8"/>
      <color theme="1"/>
      <name val="Calibri"/>
      <scheme val="minor"/>
    </font>
    <font>
      <b/>
      <sz val="2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0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2">
    <xf numFmtId="0" fontId="0" fillId="0" borderId="0" xfId="0"/>
    <xf numFmtId="0" fontId="0" fillId="0" borderId="1" xfId="0" applyBorder="1"/>
    <xf numFmtId="2" fontId="0" fillId="0" borderId="0" xfId="0" applyNumberFormat="1"/>
    <xf numFmtId="1" fontId="0" fillId="0" borderId="1" xfId="0" applyNumberFormat="1" applyBorder="1" applyAlignment="1">
      <alignment vertical="center"/>
    </xf>
    <xf numFmtId="2" fontId="0" fillId="0" borderId="1" xfId="0" applyNumberFormat="1" applyBorder="1"/>
    <xf numFmtId="1" fontId="0" fillId="0" borderId="1" xfId="0" applyNumberFormat="1" applyBorder="1"/>
    <xf numFmtId="1" fontId="3" fillId="0" borderId="1" xfId="0" applyNumberFormat="1" applyFont="1" applyBorder="1" applyAlignment="1">
      <alignment vertical="center"/>
    </xf>
    <xf numFmtId="0" fontId="3" fillId="0" borderId="0" xfId="0" applyFont="1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14" fontId="0" fillId="0" borderId="0" xfId="0" applyNumberFormat="1"/>
    <xf numFmtId="0" fontId="0" fillId="0" borderId="0" xfId="0" applyNumberFormat="1"/>
    <xf numFmtId="0" fontId="7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Fill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1" fontId="0" fillId="0" borderId="0" xfId="0" applyNumberFormat="1"/>
    <xf numFmtId="1" fontId="0" fillId="0" borderId="0" xfId="0" applyNumberFormat="1" applyBorder="1"/>
    <xf numFmtId="1" fontId="0" fillId="0" borderId="0" xfId="0" applyNumberFormat="1" applyFill="1" applyBorder="1"/>
    <xf numFmtId="1" fontId="0" fillId="0" borderId="8" xfId="0" applyNumberFormat="1" applyBorder="1"/>
    <xf numFmtId="1" fontId="0" fillId="0" borderId="0" xfId="0" applyNumberFormat="1" applyBorder="1" applyAlignment="1">
      <alignment vertical="center"/>
    </xf>
    <xf numFmtId="1" fontId="0" fillId="0" borderId="8" xfId="0" applyNumberFormat="1" applyBorder="1" applyAlignment="1">
      <alignment vertical="center"/>
    </xf>
    <xf numFmtId="0" fontId="4" fillId="0" borderId="0" xfId="0" applyFont="1" applyFill="1" applyBorder="1"/>
    <xf numFmtId="0" fontId="4" fillId="0" borderId="8" xfId="0" applyFont="1" applyBorder="1"/>
    <xf numFmtId="0" fontId="4" fillId="0" borderId="11" xfId="0" applyFont="1" applyBorder="1"/>
    <xf numFmtId="0" fontId="4" fillId="0" borderId="11" xfId="0" applyFont="1" applyFill="1" applyBorder="1"/>
    <xf numFmtId="0" fontId="4" fillId="0" borderId="12" xfId="0" applyFont="1" applyBorder="1"/>
    <xf numFmtId="0" fontId="0" fillId="0" borderId="10" xfId="0" applyBorder="1"/>
    <xf numFmtId="49" fontId="0" fillId="0" borderId="0" xfId="0" applyNumberFormat="1"/>
    <xf numFmtId="0" fontId="4" fillId="0" borderId="3" xfId="0" applyFont="1" applyBorder="1"/>
    <xf numFmtId="0" fontId="0" fillId="0" borderId="3" xfId="0" applyFill="1" applyBorder="1"/>
    <xf numFmtId="0" fontId="4" fillId="0" borderId="3" xfId="0" applyFont="1" applyFill="1" applyBorder="1"/>
    <xf numFmtId="0" fontId="0" fillId="0" borderId="8" xfId="0" applyFill="1" applyBorder="1"/>
    <xf numFmtId="0" fontId="0" fillId="0" borderId="0" xfId="0" applyFont="1" applyFill="1" applyBorder="1"/>
    <xf numFmtId="0" fontId="0" fillId="0" borderId="3" xfId="0" applyFont="1" applyBorder="1"/>
    <xf numFmtId="0" fontId="0" fillId="0" borderId="3" xfId="0" applyFont="1" applyFill="1" applyBorder="1"/>
    <xf numFmtId="0" fontId="0" fillId="0" borderId="8" xfId="0" applyFont="1" applyBorder="1"/>
    <xf numFmtId="0" fontId="0" fillId="0" borderId="8" xfId="0" applyFont="1" applyFill="1" applyBorder="1"/>
    <xf numFmtId="0" fontId="4" fillId="0" borderId="0" xfId="0" applyFont="1"/>
    <xf numFmtId="17" fontId="0" fillId="0" borderId="0" xfId="0" applyNumberFormat="1"/>
    <xf numFmtId="0" fontId="0" fillId="0" borderId="0" xfId="0" applyFont="1" applyBorder="1"/>
    <xf numFmtId="0" fontId="0" fillId="0" borderId="13" xfId="0" applyFill="1" applyBorder="1"/>
    <xf numFmtId="0" fontId="0" fillId="0" borderId="13" xfId="0" applyFont="1" applyFill="1" applyBorder="1"/>
    <xf numFmtId="0" fontId="0" fillId="0" borderId="13" xfId="0" applyFont="1" applyFill="1" applyBorder="1" applyAlignment="1">
      <alignment vertical="top"/>
    </xf>
    <xf numFmtId="0" fontId="4" fillId="0" borderId="7" xfId="0" applyFont="1" applyBorder="1"/>
    <xf numFmtId="49" fontId="0" fillId="0" borderId="9" xfId="0" applyNumberFormat="1" applyBorder="1"/>
    <xf numFmtId="0" fontId="0" fillId="0" borderId="2" xfId="0" applyFill="1" applyBorder="1"/>
    <xf numFmtId="0" fontId="0" fillId="0" borderId="2" xfId="0" applyFont="1" applyBorder="1"/>
    <xf numFmtId="49" fontId="4" fillId="0" borderId="4" xfId="0" applyNumberFormat="1" applyFont="1" applyBorder="1"/>
    <xf numFmtId="49" fontId="4" fillId="0" borderId="9" xfId="0" applyNumberFormat="1" applyFont="1" applyBorder="1"/>
    <xf numFmtId="0" fontId="0" fillId="0" borderId="5" xfId="0" applyFont="1" applyFill="1" applyBorder="1"/>
    <xf numFmtId="0" fontId="4" fillId="0" borderId="8" xfId="0" applyFont="1" applyFill="1" applyBorder="1"/>
    <xf numFmtId="0" fontId="4" fillId="0" borderId="7" xfId="0" applyFont="1" applyFill="1" applyBorder="1"/>
    <xf numFmtId="0" fontId="4" fillId="0" borderId="14" xfId="0" applyFont="1" applyFill="1" applyBorder="1"/>
    <xf numFmtId="0" fontId="0" fillId="0" borderId="16" xfId="0" applyBorder="1"/>
    <xf numFmtId="14" fontId="0" fillId="0" borderId="17" xfId="0" applyNumberFormat="1" applyBorder="1"/>
    <xf numFmtId="14" fontId="0" fillId="0" borderId="17" xfId="0" applyNumberFormat="1" applyBorder="1" applyAlignment="1">
      <alignment horizontal="left"/>
    </xf>
    <xf numFmtId="14" fontId="0" fillId="0" borderId="18" xfId="0" applyNumberFormat="1" applyBorder="1" applyAlignment="1">
      <alignment horizontal="left"/>
    </xf>
    <xf numFmtId="0" fontId="4" fillId="0" borderId="12" xfId="0" applyFont="1" applyFill="1" applyBorder="1"/>
    <xf numFmtId="0" fontId="4" fillId="0" borderId="4" xfId="0" applyFont="1" applyBorder="1"/>
    <xf numFmtId="49" fontId="4" fillId="0" borderId="6" xfId="0" applyNumberFormat="1" applyFont="1" applyBorder="1"/>
    <xf numFmtId="49" fontId="4" fillId="0" borderId="15" xfId="0" applyNumberFormat="1" applyFont="1" applyBorder="1"/>
    <xf numFmtId="0" fontId="4" fillId="0" borderId="9" xfId="0" applyFont="1" applyBorder="1"/>
    <xf numFmtId="0" fontId="4" fillId="0" borderId="6" xfId="0" applyFont="1" applyBorder="1"/>
    <xf numFmtId="0" fontId="0" fillId="0" borderId="11" xfId="0" applyFont="1" applyFill="1" applyBorder="1"/>
    <xf numFmtId="0" fontId="0" fillId="0" borderId="11" xfId="0" applyBorder="1"/>
    <xf numFmtId="0" fontId="4" fillId="0" borderId="0" xfId="0" applyFont="1" applyBorder="1"/>
    <xf numFmtId="0" fontId="4" fillId="0" borderId="16" xfId="0" applyFont="1" applyFill="1" applyBorder="1"/>
    <xf numFmtId="14" fontId="0" fillId="0" borderId="18" xfId="0" applyNumberFormat="1" applyBorder="1"/>
    <xf numFmtId="0" fontId="0" fillId="0" borderId="17" xfId="0" applyBorder="1"/>
    <xf numFmtId="0" fontId="0" fillId="0" borderId="18" xfId="0" applyBorder="1"/>
    <xf numFmtId="0" fontId="4" fillId="0" borderId="16" xfId="0" applyFont="1" applyBorder="1"/>
    <xf numFmtId="0" fontId="4" fillId="0" borderId="0" xfId="0" applyFont="1"/>
    <xf numFmtId="49" fontId="0" fillId="0" borderId="0" xfId="0" applyNumberFormat="1" applyBorder="1"/>
    <xf numFmtId="0" fontId="4" fillId="0" borderId="0" xfId="0" applyFont="1"/>
    <xf numFmtId="0" fontId="0" fillId="0" borderId="0" xfId="0" applyNumberFormat="1" applyBorder="1"/>
    <xf numFmtId="0" fontId="0" fillId="0" borderId="6" xfId="0" applyFill="1" applyBorder="1"/>
    <xf numFmtId="0" fontId="0" fillId="0" borderId="12" xfId="0" applyBorder="1"/>
    <xf numFmtId="49" fontId="0" fillId="0" borderId="4" xfId="0" applyNumberFormat="1" applyBorder="1"/>
    <xf numFmtId="0" fontId="0" fillId="0" borderId="0" xfId="0" quotePrefix="1" applyBorder="1"/>
    <xf numFmtId="0" fontId="0" fillId="0" borderId="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Font="1"/>
    <xf numFmtId="0" fontId="0" fillId="0" borderId="0" xfId="0" applyBorder="1"/>
  </cellXfs>
  <cellStyles count="10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zoomScale="200" zoomScaleNormal="200" zoomScalePageLayoutView="200" workbookViewId="0">
      <selection activeCell="F4" sqref="F4"/>
    </sheetView>
  </sheetViews>
  <sheetFormatPr baseColWidth="10" defaultRowHeight="15" x14ac:dyDescent="0"/>
  <cols>
    <col min="3" max="3" width="17.5" style="2" customWidth="1"/>
    <col min="4" max="4" width="10.83203125" style="2"/>
  </cols>
  <sheetData>
    <row r="1" spans="1:5">
      <c r="A1" t="s">
        <v>7</v>
      </c>
      <c r="C1"/>
      <c r="D1"/>
    </row>
    <row r="2" spans="1:5">
      <c r="A2" t="s">
        <v>8</v>
      </c>
      <c r="C2"/>
      <c r="D2"/>
    </row>
    <row r="3" spans="1:5">
      <c r="A3" t="s">
        <v>33</v>
      </c>
      <c r="C3"/>
      <c r="D3"/>
    </row>
    <row r="4" spans="1:5">
      <c r="A4" t="s">
        <v>32</v>
      </c>
      <c r="C4"/>
      <c r="D4"/>
    </row>
    <row r="5" spans="1:5">
      <c r="A5" t="s">
        <v>9</v>
      </c>
      <c r="C5" t="s">
        <v>141</v>
      </c>
      <c r="D5"/>
    </row>
    <row r="6" spans="1:5">
      <c r="A6" t="s">
        <v>10</v>
      </c>
      <c r="C6" t="s">
        <v>229</v>
      </c>
      <c r="D6"/>
    </row>
    <row r="7" spans="1:5">
      <c r="A7" t="s">
        <v>11</v>
      </c>
      <c r="C7" t="s">
        <v>185</v>
      </c>
      <c r="D7"/>
    </row>
    <row r="8" spans="1:5">
      <c r="A8" t="s">
        <v>51</v>
      </c>
      <c r="C8"/>
      <c r="D8"/>
    </row>
    <row r="9" spans="1:5">
      <c r="A9" s="1" t="s">
        <v>0</v>
      </c>
      <c r="B9" s="1" t="s">
        <v>1</v>
      </c>
      <c r="C9" s="1" t="s">
        <v>2</v>
      </c>
      <c r="D9" s="1" t="s">
        <v>3</v>
      </c>
      <c r="E9" s="1"/>
    </row>
    <row r="10" spans="1:5">
      <c r="A10" s="101" t="s">
        <v>4</v>
      </c>
      <c r="B10" s="1" t="s">
        <v>14</v>
      </c>
      <c r="C10" s="3">
        <v>760925382574</v>
      </c>
      <c r="D10" s="3">
        <v>300</v>
      </c>
      <c r="E10" s="1"/>
    </row>
    <row r="11" spans="1:5">
      <c r="A11" s="101"/>
      <c r="B11" s="1" t="s">
        <v>12</v>
      </c>
      <c r="C11" s="6">
        <v>760935405993</v>
      </c>
      <c r="D11" s="5">
        <v>400</v>
      </c>
      <c r="E11" s="1"/>
    </row>
    <row r="12" spans="1:5">
      <c r="A12" s="101"/>
      <c r="B12" s="1" t="s">
        <v>15</v>
      </c>
      <c r="C12" s="3">
        <v>760925382764</v>
      </c>
      <c r="D12" s="5">
        <v>600</v>
      </c>
      <c r="E12" s="1"/>
    </row>
    <row r="13" spans="1:5">
      <c r="A13" s="101"/>
      <c r="B13" s="1" t="s">
        <v>16</v>
      </c>
      <c r="C13" s="3"/>
      <c r="D13" s="5"/>
      <c r="E13" s="1"/>
    </row>
    <row r="14" spans="1:5">
      <c r="A14" s="101"/>
      <c r="B14" s="1" t="s">
        <v>17</v>
      </c>
      <c r="C14" s="3"/>
      <c r="D14" s="5"/>
      <c r="E14" s="1"/>
    </row>
    <row r="15" spans="1:5">
      <c r="A15" s="101"/>
      <c r="B15" s="1" t="s">
        <v>13</v>
      </c>
      <c r="C15" s="3"/>
      <c r="D15" s="5"/>
      <c r="E15" s="1"/>
    </row>
    <row r="16" spans="1:5">
      <c r="A16" s="101"/>
      <c r="B16" s="1" t="s">
        <v>18</v>
      </c>
      <c r="C16" s="3"/>
      <c r="D16" s="5"/>
      <c r="E16" s="1"/>
    </row>
    <row r="17" spans="1:5">
      <c r="A17" s="101"/>
      <c r="B17" s="1" t="s">
        <v>19</v>
      </c>
      <c r="C17" s="3"/>
      <c r="D17" s="5"/>
      <c r="E17" s="1"/>
    </row>
    <row r="18" spans="1:5">
      <c r="A18" s="101"/>
      <c r="B18" s="1" t="s">
        <v>20</v>
      </c>
      <c r="C18" s="3"/>
      <c r="D18" s="5"/>
      <c r="E18" s="1">
        <v>3000</v>
      </c>
    </row>
    <row r="19" spans="1:5">
      <c r="A19" s="101" t="s">
        <v>5</v>
      </c>
      <c r="B19" s="1" t="s">
        <v>21</v>
      </c>
      <c r="C19" s="5">
        <v>760925384765</v>
      </c>
      <c r="D19" s="5">
        <v>1000</v>
      </c>
      <c r="E19" s="1"/>
    </row>
    <row r="20" spans="1:5">
      <c r="A20" s="101"/>
      <c r="B20" s="1" t="s">
        <v>22</v>
      </c>
      <c r="C20" s="5">
        <v>760925384822</v>
      </c>
      <c r="D20" s="5">
        <v>800</v>
      </c>
      <c r="E20" s="1"/>
    </row>
    <row r="21" spans="1:5">
      <c r="A21" s="101"/>
      <c r="B21" s="1" t="s">
        <v>14</v>
      </c>
      <c r="C21" s="5"/>
      <c r="D21" s="5"/>
      <c r="E21" s="1"/>
    </row>
    <row r="22" spans="1:5">
      <c r="A22" s="101"/>
      <c r="B22" s="1" t="s">
        <v>16</v>
      </c>
      <c r="C22" s="5"/>
      <c r="D22" s="5"/>
      <c r="E22" s="1"/>
    </row>
    <row r="23" spans="1:5">
      <c r="A23" s="101"/>
      <c r="B23" s="1" t="s">
        <v>23</v>
      </c>
      <c r="C23" s="5"/>
      <c r="D23" s="5"/>
      <c r="E23" s="1"/>
    </row>
    <row r="24" spans="1:5">
      <c r="A24" s="101"/>
      <c r="B24" s="1" t="s">
        <v>24</v>
      </c>
      <c r="C24" s="5"/>
      <c r="D24" s="5"/>
      <c r="E24" s="1">
        <v>3000</v>
      </c>
    </row>
    <row r="25" spans="1:5">
      <c r="A25" s="101" t="s">
        <v>6</v>
      </c>
      <c r="B25" s="1" t="s">
        <v>18</v>
      </c>
      <c r="C25" s="5">
        <v>760925385690</v>
      </c>
      <c r="D25" s="5"/>
      <c r="E25" s="1"/>
    </row>
    <row r="26" spans="1:5">
      <c r="A26" s="101"/>
      <c r="B26" s="1" t="s">
        <v>25</v>
      </c>
      <c r="C26" s="5">
        <v>760925856733</v>
      </c>
      <c r="D26" s="5">
        <v>750</v>
      </c>
      <c r="E26" s="1"/>
    </row>
    <row r="27" spans="1:5">
      <c r="A27" s="101"/>
      <c r="B27" s="1" t="s">
        <v>26</v>
      </c>
      <c r="C27" s="5"/>
      <c r="D27" s="5">
        <v>900</v>
      </c>
      <c r="E27" s="1"/>
    </row>
    <row r="28" spans="1:5">
      <c r="A28" s="101"/>
      <c r="B28" s="1" t="s">
        <v>27</v>
      </c>
      <c r="C28" s="5"/>
      <c r="D28" s="5"/>
      <c r="E28" s="1"/>
    </row>
    <row r="29" spans="1:5">
      <c r="A29" s="101"/>
      <c r="B29" s="1" t="s">
        <v>19</v>
      </c>
      <c r="C29" s="5"/>
      <c r="D29" s="5"/>
      <c r="E29" s="1"/>
    </row>
    <row r="30" spans="1:5">
      <c r="A30" s="101"/>
      <c r="B30" s="1" t="s">
        <v>20</v>
      </c>
      <c r="C30" s="5"/>
      <c r="D30" s="5"/>
      <c r="E30" s="1"/>
    </row>
    <row r="31" spans="1:5">
      <c r="A31" s="101"/>
      <c r="B31" s="1" t="s">
        <v>28</v>
      </c>
      <c r="C31" s="5"/>
      <c r="D31" s="5"/>
      <c r="E31" s="1"/>
    </row>
    <row r="32" spans="1:5">
      <c r="A32" s="101"/>
      <c r="B32" s="1" t="s">
        <v>29</v>
      </c>
      <c r="C32" s="5"/>
      <c r="D32" s="5"/>
      <c r="E32" s="1"/>
    </row>
    <row r="33" spans="1:5">
      <c r="A33" s="101"/>
      <c r="B33" s="1" t="s">
        <v>30</v>
      </c>
      <c r="C33" s="5"/>
      <c r="D33" s="5"/>
      <c r="E33" s="1">
        <v>6000</v>
      </c>
    </row>
    <row r="34" spans="1:5">
      <c r="A34" s="1"/>
      <c r="B34" s="1"/>
      <c r="C34" s="4" t="s">
        <v>31</v>
      </c>
      <c r="D34" s="5">
        <v>12000</v>
      </c>
      <c r="E34" s="1"/>
    </row>
  </sheetData>
  <mergeCells count="3">
    <mergeCell ref="A10:A18"/>
    <mergeCell ref="A19:A24"/>
    <mergeCell ref="A25:A3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L11" sqref="L11"/>
    </sheetView>
  </sheetViews>
  <sheetFormatPr baseColWidth="10" defaultRowHeight="15" x14ac:dyDescent="0"/>
  <cols>
    <col min="1" max="1" width="29.1640625" customWidth="1"/>
    <col min="2" max="2" width="48.5" customWidth="1"/>
  </cols>
  <sheetData>
    <row r="1" spans="1:12">
      <c r="A1" s="7" t="s">
        <v>7</v>
      </c>
      <c r="B1" s="7"/>
    </row>
    <row r="2" spans="1:12">
      <c r="A2" s="7" t="s">
        <v>8</v>
      </c>
      <c r="B2" s="7"/>
    </row>
    <row r="3" spans="1:12">
      <c r="A3" s="7" t="s">
        <v>33</v>
      </c>
      <c r="B3" s="7"/>
    </row>
    <row r="4" spans="1:12">
      <c r="A4" s="7" t="s">
        <v>32</v>
      </c>
      <c r="B4" s="7"/>
    </row>
    <row r="5" spans="1:12">
      <c r="A5" s="7" t="s">
        <v>9</v>
      </c>
      <c r="B5" s="7"/>
    </row>
    <row r="6" spans="1:12">
      <c r="A6" s="7" t="s">
        <v>10</v>
      </c>
      <c r="B6" s="7"/>
    </row>
    <row r="7" spans="1:12">
      <c r="A7" s="7" t="s">
        <v>11</v>
      </c>
      <c r="B7" s="7"/>
    </row>
    <row r="8" spans="1:12">
      <c r="A8" s="7" t="s">
        <v>51</v>
      </c>
      <c r="B8" s="7"/>
    </row>
    <row r="11" spans="1:12">
      <c r="A11" t="s">
        <v>34</v>
      </c>
      <c r="B11" t="s">
        <v>35</v>
      </c>
      <c r="C11" s="6" t="s">
        <v>36</v>
      </c>
      <c r="D11" t="s">
        <v>37</v>
      </c>
      <c r="F11" t="s">
        <v>52</v>
      </c>
      <c r="H11" t="s">
        <v>53</v>
      </c>
      <c r="K11" t="s">
        <v>173</v>
      </c>
      <c r="L11" s="60">
        <v>18264</v>
      </c>
    </row>
    <row r="13" spans="1:12">
      <c r="A13" t="s">
        <v>38</v>
      </c>
      <c r="B13" t="s">
        <v>39</v>
      </c>
      <c r="C13" t="s">
        <v>40</v>
      </c>
      <c r="D13" t="s">
        <v>41</v>
      </c>
      <c r="F13" t="s">
        <v>54</v>
      </c>
      <c r="H13" t="s">
        <v>55</v>
      </c>
      <c r="I13" t="s">
        <v>56</v>
      </c>
    </row>
    <row r="15" spans="1:12">
      <c r="A15" t="s">
        <v>42</v>
      </c>
      <c r="B15" t="s">
        <v>50</v>
      </c>
      <c r="C15" t="s">
        <v>49</v>
      </c>
      <c r="D15" t="s">
        <v>43</v>
      </c>
    </row>
    <row r="17" spans="1:8">
      <c r="A17" t="s">
        <v>44</v>
      </c>
    </row>
    <row r="19" spans="1:8">
      <c r="A19" t="s">
        <v>45</v>
      </c>
      <c r="B19" s="8" t="s">
        <v>47</v>
      </c>
      <c r="C19" t="s">
        <v>48</v>
      </c>
      <c r="H19" t="s">
        <v>57</v>
      </c>
    </row>
    <row r="21" spans="1:8">
      <c r="A21" t="s">
        <v>46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2"/>
  <sheetViews>
    <sheetView workbookViewId="0">
      <selection activeCell="C20" sqref="C20:C21"/>
    </sheetView>
  </sheetViews>
  <sheetFormatPr baseColWidth="10" defaultRowHeight="15" x14ac:dyDescent="0"/>
  <cols>
    <col min="1" max="1" width="14.1640625" customWidth="1"/>
    <col min="2" max="3" width="34.83203125" customWidth="1"/>
    <col min="4" max="6" width="20" customWidth="1"/>
    <col min="7" max="7" width="23.5" customWidth="1"/>
    <col min="8" max="8" width="18.33203125" customWidth="1"/>
  </cols>
  <sheetData>
    <row r="2" spans="1:8" ht="23">
      <c r="E2" s="13" t="s">
        <v>58</v>
      </c>
    </row>
    <row r="6" spans="1:8">
      <c r="A6" s="7" t="s">
        <v>7</v>
      </c>
      <c r="B6" s="7"/>
      <c r="C6" s="7"/>
    </row>
    <row r="7" spans="1:8">
      <c r="A7" s="7" t="s">
        <v>8</v>
      </c>
      <c r="B7" s="7"/>
      <c r="C7" s="7"/>
    </row>
    <row r="8" spans="1:8">
      <c r="A8" s="7" t="s">
        <v>33</v>
      </c>
      <c r="B8" s="7"/>
      <c r="C8" s="7"/>
    </row>
    <row r="9" spans="1:8">
      <c r="A9" s="7" t="s">
        <v>32</v>
      </c>
      <c r="B9" s="7"/>
      <c r="C9" s="7"/>
    </row>
    <row r="10" spans="1:8">
      <c r="A10" s="7" t="s">
        <v>9</v>
      </c>
      <c r="B10" s="7"/>
      <c r="C10" s="7"/>
    </row>
    <row r="11" spans="1:8">
      <c r="A11" s="7" t="s">
        <v>10</v>
      </c>
      <c r="B11" s="7"/>
      <c r="C11" s="7"/>
    </row>
    <row r="12" spans="1:8">
      <c r="A12" s="7" t="s">
        <v>11</v>
      </c>
      <c r="B12" s="7"/>
      <c r="C12" s="7"/>
    </row>
    <row r="13" spans="1:8">
      <c r="A13" s="7" t="s">
        <v>51</v>
      </c>
      <c r="B13" s="7"/>
      <c r="C13" s="7"/>
    </row>
    <row r="15" spans="1:8">
      <c r="A15" s="10" t="s">
        <v>59</v>
      </c>
      <c r="B15" s="11" t="s">
        <v>60</v>
      </c>
      <c r="C15" s="11" t="s">
        <v>115</v>
      </c>
      <c r="D15" s="12" t="s">
        <v>61</v>
      </c>
      <c r="E15" s="12" t="s">
        <v>82</v>
      </c>
      <c r="F15" s="12" t="s">
        <v>83</v>
      </c>
      <c r="G15" s="11" t="s">
        <v>71</v>
      </c>
      <c r="H15" s="11" t="s">
        <v>72</v>
      </c>
    </row>
    <row r="16" spans="1:8">
      <c r="A16" s="7" t="s">
        <v>62</v>
      </c>
      <c r="B16" t="s">
        <v>63</v>
      </c>
      <c r="C16" t="s">
        <v>111</v>
      </c>
      <c r="D16" s="8" t="s">
        <v>84</v>
      </c>
      <c r="E16" s="9">
        <v>0.02</v>
      </c>
      <c r="F16" s="8">
        <v>0</v>
      </c>
      <c r="G16" t="s">
        <v>85</v>
      </c>
      <c r="H16" t="s">
        <v>64</v>
      </c>
    </row>
    <row r="17" spans="1:8">
      <c r="A17" s="7" t="s">
        <v>65</v>
      </c>
      <c r="B17" t="s">
        <v>66</v>
      </c>
      <c r="C17" t="s">
        <v>112</v>
      </c>
      <c r="D17" s="8" t="s">
        <v>81</v>
      </c>
      <c r="E17" s="9">
        <v>0.01</v>
      </c>
      <c r="F17" s="8" t="s">
        <v>86</v>
      </c>
      <c r="G17" t="s">
        <v>87</v>
      </c>
      <c r="H17" t="s">
        <v>77</v>
      </c>
    </row>
    <row r="18" spans="1:8">
      <c r="A18" s="7" t="s">
        <v>67</v>
      </c>
      <c r="B18" t="s">
        <v>68</v>
      </c>
      <c r="C18" t="s">
        <v>113</v>
      </c>
      <c r="D18" s="8" t="s">
        <v>88</v>
      </c>
      <c r="E18" s="9">
        <v>0.03</v>
      </c>
      <c r="F18" s="8">
        <v>0</v>
      </c>
      <c r="G18" t="s">
        <v>89</v>
      </c>
      <c r="H18" t="s">
        <v>78</v>
      </c>
    </row>
    <row r="19" spans="1:8">
      <c r="A19" s="7" t="s">
        <v>69</v>
      </c>
      <c r="B19" t="s">
        <v>70</v>
      </c>
      <c r="C19" t="s">
        <v>114</v>
      </c>
      <c r="D19" s="8" t="s">
        <v>90</v>
      </c>
      <c r="E19" s="9">
        <v>0.04</v>
      </c>
      <c r="F19" s="8" t="s">
        <v>94</v>
      </c>
      <c r="G19" t="s">
        <v>91</v>
      </c>
      <c r="H19" t="s">
        <v>92</v>
      </c>
    </row>
    <row r="20" spans="1:8">
      <c r="A20" s="7" t="s">
        <v>73</v>
      </c>
      <c r="B20" t="s">
        <v>74</v>
      </c>
      <c r="C20" t="s">
        <v>116</v>
      </c>
      <c r="D20" s="8" t="s">
        <v>75</v>
      </c>
      <c r="E20" s="9">
        <v>0.02</v>
      </c>
      <c r="F20" s="8">
        <v>0</v>
      </c>
      <c r="G20" t="s">
        <v>97</v>
      </c>
      <c r="H20" t="s">
        <v>76</v>
      </c>
    </row>
    <row r="21" spans="1:8">
      <c r="A21" s="7" t="s">
        <v>79</v>
      </c>
      <c r="B21" t="s">
        <v>80</v>
      </c>
      <c r="C21" t="s">
        <v>117</v>
      </c>
      <c r="D21" s="8" t="s">
        <v>93</v>
      </c>
      <c r="E21" s="9">
        <v>0.03</v>
      </c>
      <c r="F21" s="8" t="s">
        <v>95</v>
      </c>
      <c r="G21" t="s">
        <v>96</v>
      </c>
      <c r="H21" t="s">
        <v>92</v>
      </c>
    </row>
    <row r="22" spans="1:8">
      <c r="A22" s="7" t="s">
        <v>98</v>
      </c>
      <c r="D22" s="8"/>
      <c r="E22" s="8"/>
      <c r="F22" s="8"/>
    </row>
    <row r="23" spans="1:8">
      <c r="A23" s="7" t="s">
        <v>99</v>
      </c>
      <c r="D23" s="8"/>
      <c r="E23" s="8"/>
      <c r="F23" s="8"/>
    </row>
    <row r="24" spans="1:8">
      <c r="A24" s="7" t="s">
        <v>100</v>
      </c>
      <c r="D24" s="8"/>
      <c r="E24" s="8"/>
      <c r="F24" s="8"/>
    </row>
    <row r="25" spans="1:8">
      <c r="D25" s="8"/>
      <c r="E25" s="8"/>
      <c r="F25" s="8"/>
    </row>
    <row r="26" spans="1:8">
      <c r="D26" s="8"/>
      <c r="E26" s="8"/>
      <c r="F26" s="8"/>
    </row>
    <row r="27" spans="1:8">
      <c r="D27" s="8"/>
      <c r="E27" s="8"/>
      <c r="F27" s="8"/>
    </row>
    <row r="28" spans="1:8">
      <c r="D28" s="8"/>
      <c r="E28" s="8"/>
      <c r="F28" s="8"/>
    </row>
    <row r="29" spans="1:8">
      <c r="D29" s="8"/>
      <c r="E29" s="8"/>
      <c r="F29" s="8"/>
    </row>
    <row r="30" spans="1:8">
      <c r="D30" s="8"/>
      <c r="E30" s="8"/>
      <c r="F30" s="8"/>
    </row>
    <row r="31" spans="1:8">
      <c r="D31" s="8"/>
      <c r="E31" s="8"/>
      <c r="F31" s="8"/>
    </row>
    <row r="32" spans="1:8">
      <c r="D32" s="8"/>
      <c r="E32" s="8"/>
      <c r="F32" s="8"/>
    </row>
    <row r="33" spans="4:6">
      <c r="D33" s="8"/>
      <c r="E33" s="8"/>
      <c r="F33" s="8"/>
    </row>
    <row r="34" spans="4:6">
      <c r="D34" s="8"/>
      <c r="E34" s="8"/>
      <c r="F34" s="8"/>
    </row>
    <row r="35" spans="4:6">
      <c r="D35" s="8"/>
      <c r="E35" s="8"/>
      <c r="F35" s="8"/>
    </row>
    <row r="36" spans="4:6">
      <c r="D36" s="8"/>
      <c r="E36" s="8"/>
      <c r="F36" s="8"/>
    </row>
    <row r="37" spans="4:6">
      <c r="D37" s="8"/>
      <c r="E37" s="8"/>
      <c r="F37" s="8"/>
    </row>
    <row r="38" spans="4:6">
      <c r="D38" s="8"/>
      <c r="E38" s="8"/>
      <c r="F38" s="8"/>
    </row>
    <row r="39" spans="4:6">
      <c r="D39" s="8"/>
      <c r="E39" s="8"/>
      <c r="F39" s="8"/>
    </row>
    <row r="40" spans="4:6">
      <c r="D40" s="8"/>
      <c r="E40" s="8"/>
      <c r="F40" s="8"/>
    </row>
    <row r="41" spans="4:6">
      <c r="D41" s="8"/>
      <c r="E41" s="8"/>
      <c r="F41" s="8"/>
    </row>
    <row r="42" spans="4:6">
      <c r="D42" s="8"/>
      <c r="E42" s="8"/>
      <c r="F42" s="8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38"/>
  <sheetViews>
    <sheetView topLeftCell="A15" workbookViewId="0">
      <selection activeCell="K39" sqref="K39"/>
    </sheetView>
  </sheetViews>
  <sheetFormatPr baseColWidth="10" defaultRowHeight="15" x14ac:dyDescent="0"/>
  <cols>
    <col min="1" max="1" width="19.83203125" customWidth="1"/>
    <col min="2" max="2" width="20" customWidth="1"/>
    <col min="3" max="3" width="15.83203125" customWidth="1"/>
    <col min="4" max="4" width="13.33203125" customWidth="1"/>
    <col min="5" max="5" width="16.33203125" customWidth="1"/>
    <col min="6" max="6" width="20.6640625" customWidth="1"/>
    <col min="7" max="7" width="16.6640625" customWidth="1"/>
    <col min="8" max="8" width="16.5" customWidth="1"/>
    <col min="9" max="9" width="20.83203125" customWidth="1"/>
    <col min="10" max="10" width="18.6640625" customWidth="1"/>
    <col min="11" max="11" width="14.33203125" customWidth="1"/>
    <col min="12" max="12" width="17.1640625" customWidth="1"/>
  </cols>
  <sheetData>
    <row r="8" spans="1:7">
      <c r="A8" s="7" t="s">
        <v>7</v>
      </c>
      <c r="B8" s="7"/>
      <c r="C8" s="7"/>
    </row>
    <row r="9" spans="1:7">
      <c r="A9" s="7" t="s">
        <v>8</v>
      </c>
      <c r="B9" s="7"/>
      <c r="C9" s="7"/>
    </row>
    <row r="10" spans="1:7">
      <c r="A10" s="7" t="s">
        <v>33</v>
      </c>
      <c r="B10" s="7"/>
      <c r="C10" s="7"/>
    </row>
    <row r="11" spans="1:7">
      <c r="A11" s="7" t="s">
        <v>32</v>
      </c>
      <c r="B11" s="7"/>
      <c r="C11" s="7"/>
    </row>
    <row r="12" spans="1:7">
      <c r="A12" s="7" t="s">
        <v>9</v>
      </c>
      <c r="B12" s="7"/>
      <c r="C12" s="7"/>
    </row>
    <row r="13" spans="1:7">
      <c r="A13" s="7" t="s">
        <v>10</v>
      </c>
      <c r="B13" s="7"/>
      <c r="C13" s="7"/>
    </row>
    <row r="14" spans="1:7">
      <c r="A14" s="7" t="s">
        <v>11</v>
      </c>
      <c r="B14" s="7"/>
      <c r="C14" s="7"/>
    </row>
    <row r="15" spans="1:7">
      <c r="A15" s="7" t="s">
        <v>51</v>
      </c>
      <c r="B15" s="7"/>
      <c r="C15" s="7"/>
      <c r="G15" s="11" t="s">
        <v>101</v>
      </c>
    </row>
    <row r="17" spans="1:12">
      <c r="A17" s="10" t="s">
        <v>59</v>
      </c>
      <c r="B17" s="11" t="s">
        <v>60</v>
      </c>
      <c r="C17" s="11" t="s">
        <v>110</v>
      </c>
      <c r="D17" s="12" t="s">
        <v>61</v>
      </c>
      <c r="E17" s="12" t="s">
        <v>82</v>
      </c>
      <c r="F17" s="12" t="s">
        <v>83</v>
      </c>
      <c r="G17" s="11" t="s">
        <v>71</v>
      </c>
      <c r="H17" s="11" t="s">
        <v>72</v>
      </c>
      <c r="I17" s="12" t="s">
        <v>102</v>
      </c>
      <c r="J17" s="12" t="s">
        <v>103</v>
      </c>
      <c r="K17" s="12" t="s">
        <v>104</v>
      </c>
      <c r="L17" s="12" t="s">
        <v>105</v>
      </c>
    </row>
    <row r="18" spans="1:12">
      <c r="A18" s="7" t="s">
        <v>62</v>
      </c>
      <c r="B18" t="s">
        <v>63</v>
      </c>
      <c r="C18" t="s">
        <v>111</v>
      </c>
      <c r="D18" s="8" t="s">
        <v>84</v>
      </c>
      <c r="E18" s="9">
        <v>0.02</v>
      </c>
      <c r="F18" s="8">
        <v>0</v>
      </c>
      <c r="G18" t="s">
        <v>85</v>
      </c>
      <c r="H18" t="s">
        <v>64</v>
      </c>
      <c r="I18" t="s">
        <v>106</v>
      </c>
      <c r="J18" t="s">
        <v>107</v>
      </c>
      <c r="K18" t="s">
        <v>108</v>
      </c>
      <c r="L18" s="14">
        <v>44748</v>
      </c>
    </row>
    <row r="19" spans="1:12">
      <c r="A19" s="7" t="s">
        <v>65</v>
      </c>
      <c r="B19" t="s">
        <v>66</v>
      </c>
      <c r="C19" t="s">
        <v>112</v>
      </c>
      <c r="D19" s="8" t="s">
        <v>81</v>
      </c>
      <c r="E19" s="9">
        <v>0.01</v>
      </c>
      <c r="F19" s="8" t="s">
        <v>86</v>
      </c>
      <c r="G19" t="s">
        <v>87</v>
      </c>
      <c r="H19" t="s">
        <v>77</v>
      </c>
    </row>
    <row r="20" spans="1:12">
      <c r="A20" s="7" t="s">
        <v>67</v>
      </c>
      <c r="B20" t="s">
        <v>68</v>
      </c>
      <c r="C20" t="s">
        <v>113</v>
      </c>
      <c r="D20" s="8" t="s">
        <v>88</v>
      </c>
      <c r="E20" s="9">
        <v>0.03</v>
      </c>
      <c r="F20" s="8">
        <v>0</v>
      </c>
      <c r="G20" t="s">
        <v>89</v>
      </c>
      <c r="H20" t="s">
        <v>78</v>
      </c>
    </row>
    <row r="21" spans="1:12">
      <c r="A21" s="7" t="s">
        <v>69</v>
      </c>
      <c r="B21" t="s">
        <v>70</v>
      </c>
      <c r="C21" t="s">
        <v>114</v>
      </c>
      <c r="D21" s="8" t="s">
        <v>90</v>
      </c>
      <c r="E21" s="9">
        <v>0.04</v>
      </c>
      <c r="F21" s="8" t="s">
        <v>94</v>
      </c>
      <c r="G21" t="s">
        <v>91</v>
      </c>
      <c r="H21" t="s">
        <v>92</v>
      </c>
    </row>
    <row r="22" spans="1:12">
      <c r="A22" s="7" t="s">
        <v>73</v>
      </c>
      <c r="B22" t="s">
        <v>74</v>
      </c>
      <c r="C22" t="s">
        <v>116</v>
      </c>
      <c r="D22" s="8" t="s">
        <v>75</v>
      </c>
      <c r="E22" s="9">
        <v>0.02</v>
      </c>
      <c r="F22" s="8">
        <v>0</v>
      </c>
      <c r="G22" t="s">
        <v>97</v>
      </c>
      <c r="H22" t="s">
        <v>76</v>
      </c>
    </row>
    <row r="23" spans="1:12">
      <c r="A23" s="7" t="s">
        <v>79</v>
      </c>
      <c r="B23" t="s">
        <v>80</v>
      </c>
      <c r="C23" t="s">
        <v>117</v>
      </c>
      <c r="D23" s="8" t="s">
        <v>93</v>
      </c>
      <c r="E23" s="9">
        <v>0.03</v>
      </c>
      <c r="F23" s="8" t="s">
        <v>95</v>
      </c>
      <c r="G23" t="s">
        <v>96</v>
      </c>
      <c r="H23" t="s">
        <v>92</v>
      </c>
    </row>
    <row r="24" spans="1:12">
      <c r="A24" s="7" t="s">
        <v>98</v>
      </c>
      <c r="D24" s="8"/>
      <c r="E24" s="8"/>
      <c r="F24" s="8"/>
    </row>
    <row r="25" spans="1:12">
      <c r="A25" s="7" t="s">
        <v>99</v>
      </c>
      <c r="D25" s="8"/>
      <c r="E25" s="8"/>
      <c r="F25" s="8"/>
    </row>
    <row r="26" spans="1:12">
      <c r="A26" s="7" t="s">
        <v>100</v>
      </c>
      <c r="D26" s="8"/>
      <c r="E26" s="8"/>
      <c r="F26" s="8"/>
      <c r="G26" s="11" t="s">
        <v>109</v>
      </c>
    </row>
    <row r="27" spans="1:12">
      <c r="D27" s="8"/>
      <c r="E27" s="8"/>
      <c r="F27" s="8"/>
    </row>
    <row r="28" spans="1:12">
      <c r="A28" s="7" t="s">
        <v>118</v>
      </c>
      <c r="B28" t="s">
        <v>119</v>
      </c>
      <c r="C28" t="s">
        <v>120</v>
      </c>
      <c r="D28" s="8" t="s">
        <v>121</v>
      </c>
      <c r="E28" s="8" t="s">
        <v>122</v>
      </c>
      <c r="F28" s="8" t="s">
        <v>123</v>
      </c>
    </row>
    <row r="29" spans="1:12">
      <c r="A29" s="14">
        <v>40820</v>
      </c>
      <c r="B29" t="s">
        <v>124</v>
      </c>
      <c r="C29" s="14">
        <v>44596</v>
      </c>
      <c r="D29" s="15" t="s">
        <v>127</v>
      </c>
      <c r="E29" t="s">
        <v>125</v>
      </c>
      <c r="F29" t="s">
        <v>126</v>
      </c>
    </row>
    <row r="32" spans="1:12">
      <c r="G32" s="11" t="s">
        <v>128</v>
      </c>
    </row>
    <row r="34" spans="1:11" s="11" customFormat="1">
      <c r="B34" s="11" t="s">
        <v>105</v>
      </c>
      <c r="C34" s="11" t="s">
        <v>129</v>
      </c>
      <c r="D34" s="11" t="s">
        <v>130</v>
      </c>
      <c r="E34" s="11" t="s">
        <v>131</v>
      </c>
      <c r="F34" s="11" t="s">
        <v>132</v>
      </c>
      <c r="G34" s="11" t="s">
        <v>133</v>
      </c>
      <c r="H34" s="11" t="s">
        <v>134</v>
      </c>
      <c r="I34" s="11" t="s">
        <v>135</v>
      </c>
      <c r="J34" s="11" t="s">
        <v>137</v>
      </c>
    </row>
    <row r="35" spans="1:11">
      <c r="B35" s="14">
        <v>44748</v>
      </c>
      <c r="C35" s="14">
        <v>44840</v>
      </c>
      <c r="D35" s="14">
        <v>44871</v>
      </c>
      <c r="E35" s="14">
        <v>44901</v>
      </c>
    </row>
    <row r="36" spans="1:11">
      <c r="A36" t="s">
        <v>139</v>
      </c>
      <c r="B36" t="s">
        <v>138</v>
      </c>
      <c r="C36" t="s">
        <v>136</v>
      </c>
      <c r="D36">
        <v>1200</v>
      </c>
      <c r="E36">
        <v>2000</v>
      </c>
      <c r="F36">
        <v>2000</v>
      </c>
      <c r="G36">
        <v>2000</v>
      </c>
      <c r="H36">
        <v>2000</v>
      </c>
      <c r="I36">
        <v>2000</v>
      </c>
      <c r="J36">
        <v>200</v>
      </c>
    </row>
    <row r="38" spans="1:11">
      <c r="A38" t="s">
        <v>140</v>
      </c>
      <c r="B38">
        <v>0</v>
      </c>
      <c r="C38">
        <v>0</v>
      </c>
      <c r="D38">
        <v>100</v>
      </c>
      <c r="E38">
        <v>500</v>
      </c>
      <c r="F38">
        <v>1000</v>
      </c>
      <c r="G38">
        <v>2000</v>
      </c>
      <c r="H38">
        <v>2000</v>
      </c>
      <c r="I38">
        <v>2000</v>
      </c>
      <c r="J38">
        <v>2200</v>
      </c>
      <c r="K38">
        <v>2200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54"/>
  <sheetViews>
    <sheetView tabSelected="1" workbookViewId="0">
      <selection activeCell="O13" sqref="O13"/>
    </sheetView>
  </sheetViews>
  <sheetFormatPr baseColWidth="10" defaultRowHeight="15" x14ac:dyDescent="0"/>
  <cols>
    <col min="1" max="1" width="13.6640625" customWidth="1"/>
    <col min="2" max="2" width="13.5" customWidth="1"/>
    <col min="4" max="4" width="13.33203125" customWidth="1"/>
    <col min="7" max="7" width="14.83203125" customWidth="1"/>
    <col min="8" max="8" width="16.5" customWidth="1"/>
    <col min="10" max="10" width="10" customWidth="1"/>
    <col min="11" max="11" width="18.83203125" customWidth="1"/>
    <col min="12" max="12" width="14.1640625" customWidth="1"/>
    <col min="17" max="17" width="14.6640625" customWidth="1"/>
    <col min="20" max="20" width="15.1640625" customWidth="1"/>
    <col min="21" max="21" width="13.6640625" customWidth="1"/>
    <col min="24" max="24" width="17.5" customWidth="1"/>
    <col min="26" max="26" width="14.6640625" customWidth="1"/>
    <col min="28" max="28" width="13.5" customWidth="1"/>
    <col min="29" max="29" width="14" customWidth="1"/>
  </cols>
  <sheetData>
    <row r="2" spans="1:31" ht="28">
      <c r="H2" s="16" t="s">
        <v>142</v>
      </c>
    </row>
    <row r="4" spans="1:31">
      <c r="G4" s="108" t="s">
        <v>249</v>
      </c>
      <c r="H4" s="108"/>
      <c r="I4" s="108"/>
      <c r="J4" s="108"/>
      <c r="K4" s="108"/>
      <c r="L4" s="108"/>
      <c r="M4" s="108"/>
      <c r="N4" s="109"/>
      <c r="O4" s="109"/>
      <c r="P4" s="109"/>
    </row>
    <row r="5" spans="1:31">
      <c r="G5" s="95"/>
      <c r="H5" s="95"/>
      <c r="I5" s="95"/>
      <c r="J5" s="95"/>
      <c r="K5" s="95"/>
      <c r="L5" s="95"/>
      <c r="M5" s="95"/>
      <c r="N5" s="109"/>
      <c r="O5" s="109"/>
      <c r="P5" s="109"/>
    </row>
    <row r="6" spans="1:31">
      <c r="G6" t="s">
        <v>250</v>
      </c>
    </row>
    <row r="8" spans="1:31">
      <c r="A8" t="s">
        <v>7</v>
      </c>
      <c r="G8" s="110" t="s">
        <v>158</v>
      </c>
      <c r="H8" s="110"/>
      <c r="I8" s="110"/>
      <c r="J8" s="110"/>
      <c r="K8" s="110"/>
      <c r="L8" s="95"/>
    </row>
    <row r="9" spans="1:31">
      <c r="A9" t="s">
        <v>8</v>
      </c>
    </row>
    <row r="10" spans="1:31">
      <c r="A10" t="s">
        <v>33</v>
      </c>
      <c r="G10" s="95" t="s">
        <v>176</v>
      </c>
      <c r="H10" s="95"/>
      <c r="I10" s="95"/>
      <c r="J10" s="95"/>
      <c r="K10" s="95"/>
      <c r="L10" s="95"/>
    </row>
    <row r="11" spans="1:31">
      <c r="A11" t="s">
        <v>32</v>
      </c>
    </row>
    <row r="12" spans="1:31">
      <c r="A12" t="s">
        <v>9</v>
      </c>
      <c r="C12" t="s">
        <v>187</v>
      </c>
      <c r="G12" s="95" t="s">
        <v>169</v>
      </c>
      <c r="H12" s="95"/>
    </row>
    <row r="13" spans="1:31">
      <c r="A13" t="s">
        <v>10</v>
      </c>
      <c r="C13" t="s">
        <v>186</v>
      </c>
    </row>
    <row r="14" spans="1:31">
      <c r="A14" t="s">
        <v>11</v>
      </c>
      <c r="C14" t="s">
        <v>185</v>
      </c>
    </row>
    <row r="15" spans="1:31" ht="16" thickBot="1">
      <c r="A15" t="s">
        <v>51</v>
      </c>
      <c r="G15" s="108" t="s">
        <v>247</v>
      </c>
      <c r="H15" s="108"/>
      <c r="I15" s="108"/>
      <c r="J15" s="108"/>
      <c r="K15" s="108"/>
      <c r="L15" s="108"/>
      <c r="M15" s="108"/>
    </row>
    <row r="16" spans="1:31" ht="16" thickBot="1">
      <c r="AB16" s="27" t="s">
        <v>145</v>
      </c>
      <c r="AC16" s="28" t="s">
        <v>2</v>
      </c>
      <c r="AD16" s="28" t="s">
        <v>143</v>
      </c>
      <c r="AE16" s="29" t="s">
        <v>144</v>
      </c>
    </row>
    <row r="17" spans="1:31">
      <c r="C17" s="17" t="s">
        <v>145</v>
      </c>
      <c r="D17" s="18" t="s">
        <v>2</v>
      </c>
      <c r="E17" s="18" t="s">
        <v>143</v>
      </c>
      <c r="F17" s="19" t="s">
        <v>144</v>
      </c>
      <c r="P17" s="17" t="s">
        <v>145</v>
      </c>
      <c r="Q17" s="18" t="s">
        <v>2</v>
      </c>
      <c r="R17" s="18" t="s">
        <v>143</v>
      </c>
      <c r="S17" s="19" t="s">
        <v>144</v>
      </c>
      <c r="AB17" s="30" t="s">
        <v>149</v>
      </c>
      <c r="AC17" s="41">
        <v>760295722291</v>
      </c>
      <c r="AD17" s="31" t="s">
        <v>14</v>
      </c>
      <c r="AE17" s="32">
        <v>600</v>
      </c>
    </row>
    <row r="18" spans="1:31">
      <c r="C18" s="20" t="s">
        <v>146</v>
      </c>
      <c r="D18" s="37">
        <v>760295744295</v>
      </c>
      <c r="E18" s="21" t="s">
        <v>21</v>
      </c>
      <c r="F18" s="22">
        <v>400</v>
      </c>
      <c r="P18" s="20" t="s">
        <v>148</v>
      </c>
      <c r="Q18" s="38">
        <v>760295733294</v>
      </c>
      <c r="R18" s="21" t="s">
        <v>12</v>
      </c>
      <c r="S18" s="22">
        <v>400</v>
      </c>
      <c r="AB18" s="30" t="s">
        <v>149</v>
      </c>
      <c r="AC18" s="41">
        <v>760295722292</v>
      </c>
      <c r="AD18" s="31" t="s">
        <v>153</v>
      </c>
      <c r="AE18" s="32">
        <v>800</v>
      </c>
    </row>
    <row r="19" spans="1:31">
      <c r="C19" s="20" t="s">
        <v>147</v>
      </c>
      <c r="D19" s="38">
        <v>760295744296</v>
      </c>
      <c r="E19" s="21" t="s">
        <v>14</v>
      </c>
      <c r="F19" s="22">
        <v>700</v>
      </c>
      <c r="P19" s="20" t="s">
        <v>148</v>
      </c>
      <c r="Q19" s="38">
        <v>760295733295</v>
      </c>
      <c r="R19" s="21" t="s">
        <v>151</v>
      </c>
      <c r="S19" s="22">
        <v>750</v>
      </c>
      <c r="AB19" s="30" t="s">
        <v>149</v>
      </c>
      <c r="AC19" s="41">
        <v>760295722293</v>
      </c>
      <c r="AD19" s="33" t="s">
        <v>19</v>
      </c>
      <c r="AE19" s="32">
        <v>900</v>
      </c>
    </row>
    <row r="20" spans="1:31">
      <c r="C20" s="20" t="s">
        <v>147</v>
      </c>
      <c r="D20" s="38">
        <v>760295744297</v>
      </c>
      <c r="E20" s="21" t="s">
        <v>13</v>
      </c>
      <c r="F20" s="22">
        <v>600</v>
      </c>
      <c r="P20" s="20" t="s">
        <v>148</v>
      </c>
      <c r="Q20" s="38">
        <v>760295733296</v>
      </c>
      <c r="R20" s="21" t="s">
        <v>152</v>
      </c>
      <c r="S20" s="22">
        <v>850</v>
      </c>
      <c r="AB20" s="30" t="s">
        <v>149</v>
      </c>
      <c r="AC20" s="41">
        <v>760295722294</v>
      </c>
      <c r="AD20" s="33" t="s">
        <v>154</v>
      </c>
      <c r="AE20" s="32">
        <v>500</v>
      </c>
    </row>
    <row r="21" spans="1:31">
      <c r="C21" s="20" t="s">
        <v>147</v>
      </c>
      <c r="D21" s="39">
        <v>760295744298</v>
      </c>
      <c r="E21" s="21" t="s">
        <v>19</v>
      </c>
      <c r="F21" s="22">
        <v>800</v>
      </c>
      <c r="P21" s="20" t="s">
        <v>148</v>
      </c>
      <c r="Q21" s="38">
        <v>760295733297</v>
      </c>
      <c r="R21" s="21" t="s">
        <v>20</v>
      </c>
      <c r="S21" s="22">
        <v>900</v>
      </c>
      <c r="AB21" s="30" t="s">
        <v>149</v>
      </c>
      <c r="AC21" s="41">
        <v>760295722295</v>
      </c>
      <c r="AD21" s="33" t="s">
        <v>20</v>
      </c>
      <c r="AE21" s="32">
        <v>500</v>
      </c>
    </row>
    <row r="22" spans="1:31" ht="16" thickBot="1">
      <c r="C22" s="23" t="s">
        <v>147</v>
      </c>
      <c r="D22" s="40">
        <v>760295744299</v>
      </c>
      <c r="E22" s="24" t="s">
        <v>157</v>
      </c>
      <c r="F22" s="25">
        <v>500</v>
      </c>
      <c r="P22" s="20" t="s">
        <v>148</v>
      </c>
      <c r="Q22" s="38">
        <v>760295733298</v>
      </c>
      <c r="R22" s="21" t="s">
        <v>28</v>
      </c>
      <c r="S22" s="22">
        <v>400</v>
      </c>
      <c r="AB22" s="30" t="s">
        <v>149</v>
      </c>
      <c r="AC22" s="41">
        <v>760295722296</v>
      </c>
      <c r="AD22" s="33" t="s">
        <v>155</v>
      </c>
      <c r="AE22" s="32">
        <v>700</v>
      </c>
    </row>
    <row r="23" spans="1:31" ht="16" thickBot="1">
      <c r="C23" s="20"/>
      <c r="D23" s="21"/>
      <c r="E23" s="21" t="s">
        <v>150</v>
      </c>
      <c r="F23" s="22">
        <v>3000</v>
      </c>
      <c r="I23" s="108" t="s">
        <v>248</v>
      </c>
      <c r="J23" s="108"/>
      <c r="K23" s="108"/>
      <c r="L23" s="108"/>
      <c r="P23" s="23" t="s">
        <v>148</v>
      </c>
      <c r="Q23" s="40">
        <v>760295733299</v>
      </c>
      <c r="R23" s="24" t="s">
        <v>29</v>
      </c>
      <c r="S23" s="25">
        <v>700</v>
      </c>
      <c r="AB23" s="34" t="s">
        <v>149</v>
      </c>
      <c r="AC23" s="42">
        <v>760295722297</v>
      </c>
      <c r="AD23" s="35" t="s">
        <v>156</v>
      </c>
      <c r="AE23" s="36">
        <v>1000</v>
      </c>
    </row>
    <row r="24" spans="1:31" ht="16" thickBot="1">
      <c r="C24" s="23"/>
      <c r="D24" s="24"/>
      <c r="E24" s="24"/>
      <c r="F24" s="25"/>
      <c r="P24" s="20"/>
      <c r="Q24" s="21"/>
      <c r="R24" s="21" t="s">
        <v>150</v>
      </c>
      <c r="S24" s="22">
        <v>4000</v>
      </c>
      <c r="AB24" s="30"/>
      <c r="AC24" s="31"/>
      <c r="AD24" s="31" t="s">
        <v>150</v>
      </c>
      <c r="AE24" s="32">
        <f>AE17+AE19+AE18+AE20+AE21+AE22+AE23</f>
        <v>5000</v>
      </c>
    </row>
    <row r="25" spans="1:31" ht="16" thickBot="1">
      <c r="P25" s="23"/>
      <c r="Q25" s="24"/>
      <c r="R25" s="24"/>
      <c r="S25" s="25"/>
      <c r="AB25" s="34"/>
      <c r="AC25" s="35"/>
      <c r="AD25" s="35"/>
      <c r="AE25" s="36"/>
    </row>
    <row r="26" spans="1:31" ht="16" thickBot="1"/>
    <row r="27" spans="1:31" ht="16" thickBot="1">
      <c r="A27" s="75" t="s">
        <v>192</v>
      </c>
      <c r="B27" s="48"/>
      <c r="C27" s="45" t="s">
        <v>21</v>
      </c>
      <c r="D27" s="45" t="s">
        <v>14</v>
      </c>
      <c r="E27" s="45" t="s">
        <v>13</v>
      </c>
      <c r="F27" s="45" t="s">
        <v>19</v>
      </c>
      <c r="G27" s="45" t="s">
        <v>157</v>
      </c>
      <c r="H27" s="46" t="s">
        <v>159</v>
      </c>
      <c r="I27" s="46" t="s">
        <v>161</v>
      </c>
      <c r="J27" s="47" t="s">
        <v>160</v>
      </c>
      <c r="K27" s="92" t="s">
        <v>210</v>
      </c>
      <c r="M27" s="88" t="s">
        <v>194</v>
      </c>
      <c r="N27" s="86"/>
      <c r="O27" s="46" t="s">
        <v>12</v>
      </c>
      <c r="P27" s="46" t="s">
        <v>151</v>
      </c>
      <c r="Q27" s="46" t="s">
        <v>152</v>
      </c>
      <c r="R27" s="46" t="s">
        <v>20</v>
      </c>
      <c r="S27" s="46" t="s">
        <v>28</v>
      </c>
      <c r="T27" s="46" t="s">
        <v>29</v>
      </c>
      <c r="U27" s="85" t="s">
        <v>47</v>
      </c>
      <c r="V27" s="46" t="s">
        <v>196</v>
      </c>
      <c r="W27" s="79" t="s">
        <v>197</v>
      </c>
      <c r="X27" s="75" t="s">
        <v>212</v>
      </c>
    </row>
    <row r="28" spans="1:31">
      <c r="B28" s="17" t="s">
        <v>189</v>
      </c>
      <c r="C28" s="18">
        <v>408</v>
      </c>
      <c r="D28" s="18">
        <v>714</v>
      </c>
      <c r="E28" s="18">
        <v>612</v>
      </c>
      <c r="F28" s="18">
        <v>815</v>
      </c>
      <c r="G28" s="18">
        <v>510</v>
      </c>
      <c r="H28" s="50">
        <v>3059</v>
      </c>
      <c r="I28" s="18"/>
      <c r="J28" s="80"/>
      <c r="K28" s="90"/>
      <c r="M28" s="76"/>
      <c r="N28" s="18" t="s">
        <v>188</v>
      </c>
      <c r="O28" s="18">
        <v>404</v>
      </c>
      <c r="P28" s="18">
        <v>765</v>
      </c>
      <c r="Q28" s="18">
        <v>865</v>
      </c>
      <c r="R28" s="18">
        <v>915</v>
      </c>
      <c r="S28" s="18">
        <v>408</v>
      </c>
      <c r="T28" s="18">
        <v>714</v>
      </c>
      <c r="U28" s="55">
        <f>O28+P28+Q28+R28+S28+T28</f>
        <v>4071</v>
      </c>
      <c r="V28" s="18" t="s">
        <v>198</v>
      </c>
      <c r="W28" s="80"/>
      <c r="X28" s="90"/>
    </row>
    <row r="29" spans="1:31" ht="16" thickBot="1">
      <c r="A29" s="77">
        <v>44596</v>
      </c>
      <c r="B29" s="65" t="s">
        <v>162</v>
      </c>
      <c r="C29" s="24">
        <v>208</v>
      </c>
      <c r="D29" s="24">
        <v>0</v>
      </c>
      <c r="E29" s="24">
        <v>208</v>
      </c>
      <c r="F29" s="24">
        <v>0</v>
      </c>
      <c r="G29" s="24">
        <v>208</v>
      </c>
      <c r="H29" s="24">
        <v>624</v>
      </c>
      <c r="I29" s="24" t="s">
        <v>163</v>
      </c>
      <c r="J29" s="70" t="s">
        <v>177</v>
      </c>
      <c r="K29" s="90" t="s">
        <v>215</v>
      </c>
      <c r="M29" s="76">
        <v>44624</v>
      </c>
      <c r="N29" s="87" t="s">
        <v>195</v>
      </c>
      <c r="O29" s="21">
        <v>204</v>
      </c>
      <c r="P29" s="21"/>
      <c r="Q29" s="21">
        <v>204</v>
      </c>
      <c r="R29" s="21"/>
      <c r="S29" s="21">
        <v>204</v>
      </c>
      <c r="T29" s="21"/>
      <c r="U29" s="21">
        <f>O29+P29+Q29+R29+S29+T29</f>
        <v>612</v>
      </c>
      <c r="V29" s="21" t="s">
        <v>200</v>
      </c>
      <c r="W29" s="84" t="s">
        <v>199</v>
      </c>
      <c r="X29" s="90"/>
    </row>
    <row r="30" spans="1:31">
      <c r="A30" s="77"/>
      <c r="B30" s="17" t="s">
        <v>190</v>
      </c>
      <c r="C30" s="18">
        <v>200</v>
      </c>
      <c r="D30" s="18">
        <v>714</v>
      </c>
      <c r="E30" s="18">
        <v>404</v>
      </c>
      <c r="F30" s="18">
        <v>815</v>
      </c>
      <c r="G30" s="18">
        <v>302</v>
      </c>
      <c r="H30" s="50">
        <v>2435</v>
      </c>
      <c r="I30" s="18"/>
      <c r="J30" s="69"/>
      <c r="K30" s="90"/>
      <c r="M30" s="76"/>
      <c r="N30" s="18"/>
      <c r="O30" s="18">
        <v>200</v>
      </c>
      <c r="P30" s="18">
        <v>765</v>
      </c>
      <c r="Q30" s="18">
        <v>661</v>
      </c>
      <c r="R30" s="18">
        <v>915</v>
      </c>
      <c r="S30" s="18">
        <v>204</v>
      </c>
      <c r="T30" s="18">
        <v>714</v>
      </c>
      <c r="U30" s="18">
        <f>O30+P30+Q30+R30+S30+T30</f>
        <v>3459</v>
      </c>
      <c r="V30" s="18"/>
      <c r="W30" s="80"/>
      <c r="X30" s="90"/>
    </row>
    <row r="31" spans="1:31" ht="16" thickBot="1">
      <c r="A31" s="77">
        <v>44596</v>
      </c>
      <c r="B31" s="65" t="s">
        <v>165</v>
      </c>
      <c r="C31" s="24">
        <v>200</v>
      </c>
      <c r="D31" s="24">
        <v>200</v>
      </c>
      <c r="E31" s="24">
        <v>0</v>
      </c>
      <c r="F31" s="24">
        <v>200</v>
      </c>
      <c r="G31" s="24">
        <v>200</v>
      </c>
      <c r="H31" s="24">
        <v>800</v>
      </c>
      <c r="I31" s="24" t="s">
        <v>166</v>
      </c>
      <c r="J31" s="70" t="s">
        <v>178</v>
      </c>
      <c r="K31" s="90" t="s">
        <v>211</v>
      </c>
      <c r="M31" s="76">
        <v>44624</v>
      </c>
      <c r="N31" s="44" t="s">
        <v>203</v>
      </c>
      <c r="O31" s="24">
        <v>200</v>
      </c>
      <c r="P31" s="24">
        <v>200</v>
      </c>
      <c r="Q31" s="24">
        <v>200</v>
      </c>
      <c r="R31" s="24">
        <v>200</v>
      </c>
      <c r="S31" s="24">
        <v>200</v>
      </c>
      <c r="T31" s="24">
        <v>200</v>
      </c>
      <c r="U31" s="24">
        <v>1200</v>
      </c>
      <c r="V31" s="24" t="s">
        <v>201</v>
      </c>
      <c r="W31" s="83" t="s">
        <v>202</v>
      </c>
      <c r="X31" s="90"/>
    </row>
    <row r="32" spans="1:31">
      <c r="A32" s="77"/>
      <c r="B32" s="67" t="s">
        <v>189</v>
      </c>
      <c r="C32" s="51">
        <v>0</v>
      </c>
      <c r="D32" s="51">
        <v>514</v>
      </c>
      <c r="E32" s="51">
        <v>404</v>
      </c>
      <c r="F32" s="51">
        <v>615</v>
      </c>
      <c r="G32" s="51">
        <v>102</v>
      </c>
      <c r="H32" s="52">
        <v>1635</v>
      </c>
      <c r="I32" s="18"/>
      <c r="J32" s="69"/>
      <c r="K32" s="90"/>
      <c r="M32" s="76"/>
      <c r="N32" s="21"/>
      <c r="O32" s="26">
        <v>0</v>
      </c>
      <c r="P32" s="26">
        <v>565</v>
      </c>
      <c r="Q32" s="26">
        <v>461</v>
      </c>
      <c r="R32" s="26">
        <v>715</v>
      </c>
      <c r="S32" s="26">
        <v>4</v>
      </c>
      <c r="T32" s="26">
        <v>514</v>
      </c>
      <c r="U32" s="26">
        <f>O32+P32+Q32+R32+S32+T32</f>
        <v>2259</v>
      </c>
      <c r="V32" s="21"/>
      <c r="W32" s="84"/>
      <c r="X32" s="90"/>
    </row>
    <row r="33" spans="1:24" ht="16" thickBot="1">
      <c r="A33" s="77">
        <v>44624</v>
      </c>
      <c r="B33" s="65" t="s">
        <v>167</v>
      </c>
      <c r="C33" s="24">
        <v>0</v>
      </c>
      <c r="D33" s="53">
        <v>202</v>
      </c>
      <c r="E33" s="53">
        <v>404</v>
      </c>
      <c r="F33" s="53">
        <v>202</v>
      </c>
      <c r="G33" s="24"/>
      <c r="H33" s="53">
        <v>808</v>
      </c>
      <c r="I33" s="24" t="s">
        <v>168</v>
      </c>
      <c r="J33" s="70" t="s">
        <v>179</v>
      </c>
      <c r="K33" s="90"/>
      <c r="M33" s="76">
        <v>44655</v>
      </c>
      <c r="N33" s="72" t="s">
        <v>204</v>
      </c>
      <c r="O33" s="24">
        <v>0</v>
      </c>
      <c r="P33" s="53">
        <v>204</v>
      </c>
      <c r="Q33" s="53">
        <v>204</v>
      </c>
      <c r="R33" s="53">
        <v>204</v>
      </c>
      <c r="S33" s="53">
        <v>0</v>
      </c>
      <c r="T33" s="53">
        <v>204</v>
      </c>
      <c r="U33" s="53">
        <v>816</v>
      </c>
      <c r="V33" s="24" t="s">
        <v>205</v>
      </c>
      <c r="W33" s="83" t="s">
        <v>206</v>
      </c>
      <c r="X33" s="90"/>
    </row>
    <row r="34" spans="1:24">
      <c r="A34" s="77"/>
      <c r="B34" s="67" t="s">
        <v>191</v>
      </c>
      <c r="C34" s="51">
        <v>0</v>
      </c>
      <c r="D34" s="51">
        <v>312</v>
      </c>
      <c r="E34" s="51">
        <v>0</v>
      </c>
      <c r="F34" s="51">
        <v>413</v>
      </c>
      <c r="G34" s="51">
        <v>102</v>
      </c>
      <c r="H34" s="52">
        <v>827</v>
      </c>
      <c r="I34" s="18"/>
      <c r="J34" s="69"/>
      <c r="K34" s="90"/>
      <c r="M34" s="76"/>
      <c r="N34" s="18"/>
      <c r="O34" s="18"/>
      <c r="P34" s="51">
        <v>361</v>
      </c>
      <c r="Q34" s="51">
        <v>257</v>
      </c>
      <c r="R34" s="51">
        <v>511</v>
      </c>
      <c r="S34" s="51">
        <v>4</v>
      </c>
      <c r="T34" s="51">
        <v>310</v>
      </c>
      <c r="U34" s="51">
        <v>1443</v>
      </c>
      <c r="V34" s="18"/>
      <c r="W34" s="80"/>
      <c r="X34" s="90"/>
    </row>
    <row r="35" spans="1:24" ht="16" thickBot="1">
      <c r="A35" s="77">
        <v>44624</v>
      </c>
      <c r="B35" s="73" t="s">
        <v>193</v>
      </c>
      <c r="C35" s="53">
        <v>0</v>
      </c>
      <c r="D35" s="53">
        <v>206</v>
      </c>
      <c r="E35" s="53">
        <v>0</v>
      </c>
      <c r="F35" s="53">
        <v>412</v>
      </c>
      <c r="G35" s="53">
        <v>0</v>
      </c>
      <c r="H35" s="53">
        <v>618</v>
      </c>
      <c r="I35" s="24" t="s">
        <v>171</v>
      </c>
      <c r="J35" s="70" t="s">
        <v>180</v>
      </c>
      <c r="K35" s="90"/>
      <c r="M35" s="76"/>
      <c r="N35" s="44" t="s">
        <v>207</v>
      </c>
      <c r="O35" s="24"/>
      <c r="P35" s="53">
        <v>210</v>
      </c>
      <c r="Q35" s="53">
        <v>210</v>
      </c>
      <c r="R35" s="53">
        <v>210</v>
      </c>
      <c r="S35" s="24"/>
      <c r="T35" s="53">
        <v>210</v>
      </c>
      <c r="U35" s="53">
        <v>840</v>
      </c>
      <c r="V35" s="24" t="s">
        <v>208</v>
      </c>
      <c r="W35" s="83" t="s">
        <v>209</v>
      </c>
      <c r="X35" s="91"/>
    </row>
    <row r="36" spans="1:24">
      <c r="A36" s="77"/>
      <c r="B36" s="68" t="s">
        <v>191</v>
      </c>
      <c r="C36" s="50"/>
      <c r="D36" s="56">
        <v>106</v>
      </c>
      <c r="E36" s="55"/>
      <c r="F36" s="56">
        <v>1</v>
      </c>
      <c r="G36" s="56">
        <v>102</v>
      </c>
      <c r="H36" s="52">
        <v>209</v>
      </c>
      <c r="I36" s="50"/>
      <c r="J36" s="69"/>
      <c r="K36" s="90"/>
      <c r="M36" s="76"/>
      <c r="W36" s="59"/>
    </row>
    <row r="37" spans="1:24" ht="16" thickBot="1">
      <c r="A37" s="77">
        <v>44624</v>
      </c>
      <c r="B37" s="65" t="s">
        <v>170</v>
      </c>
      <c r="C37" s="44">
        <v>0</v>
      </c>
      <c r="D37" s="58">
        <v>102</v>
      </c>
      <c r="E37" s="57">
        <v>0</v>
      </c>
      <c r="F37" s="58">
        <v>0</v>
      </c>
      <c r="G37" s="58">
        <v>102</v>
      </c>
      <c r="H37" s="58">
        <v>204</v>
      </c>
      <c r="I37" s="57" t="s">
        <v>172</v>
      </c>
      <c r="J37" s="70" t="s">
        <v>181</v>
      </c>
      <c r="K37" s="90"/>
      <c r="M37" s="76"/>
      <c r="W37" s="59"/>
    </row>
    <row r="38" spans="1:24">
      <c r="A38" s="77"/>
      <c r="B38" s="71" t="s">
        <v>164</v>
      </c>
      <c r="C38" s="26">
        <v>0</v>
      </c>
      <c r="D38" s="26">
        <v>4</v>
      </c>
      <c r="E38" s="61">
        <v>0</v>
      </c>
      <c r="F38" s="54">
        <v>1</v>
      </c>
      <c r="G38" s="54">
        <v>0</v>
      </c>
      <c r="H38" s="43">
        <v>5</v>
      </c>
      <c r="I38" s="21"/>
      <c r="J38" s="81"/>
      <c r="K38" s="90"/>
      <c r="M38" s="76"/>
      <c r="W38" s="59"/>
    </row>
    <row r="39" spans="1:24" ht="16" thickBot="1">
      <c r="A39" s="77">
        <v>44624</v>
      </c>
      <c r="B39" s="65" t="s">
        <v>174</v>
      </c>
      <c r="C39" s="53">
        <v>0</v>
      </c>
      <c r="D39" s="53">
        <v>4</v>
      </c>
      <c r="E39" s="57">
        <v>0</v>
      </c>
      <c r="F39" s="58">
        <v>0</v>
      </c>
      <c r="G39" s="58">
        <v>0</v>
      </c>
      <c r="H39" s="58">
        <v>4</v>
      </c>
      <c r="I39" s="53" t="s">
        <v>175</v>
      </c>
      <c r="J39" s="70" t="s">
        <v>182</v>
      </c>
      <c r="K39" s="90"/>
      <c r="M39" s="76"/>
      <c r="W39" s="59"/>
    </row>
    <row r="40" spans="1:24">
      <c r="A40" s="77"/>
      <c r="B40" s="67" t="s">
        <v>164</v>
      </c>
      <c r="C40" s="51">
        <v>0</v>
      </c>
      <c r="D40" s="51">
        <v>0</v>
      </c>
      <c r="E40" s="56">
        <v>0</v>
      </c>
      <c r="F40" s="56">
        <v>1</v>
      </c>
      <c r="G40" s="56">
        <v>0</v>
      </c>
      <c r="H40" s="52">
        <v>1</v>
      </c>
      <c r="I40" s="18"/>
      <c r="J40" s="69"/>
      <c r="K40" s="90"/>
      <c r="M40" s="76"/>
      <c r="W40" s="59"/>
    </row>
    <row r="41" spans="1:24" ht="16" thickBot="1">
      <c r="A41" s="77">
        <v>44624</v>
      </c>
      <c r="B41" s="74" t="s">
        <v>184</v>
      </c>
      <c r="C41" s="62">
        <v>0</v>
      </c>
      <c r="D41" s="62">
        <v>0</v>
      </c>
      <c r="E41" s="63">
        <v>0</v>
      </c>
      <c r="F41" s="63">
        <v>1</v>
      </c>
      <c r="G41" s="63">
        <v>0</v>
      </c>
      <c r="H41" s="63">
        <v>1</v>
      </c>
      <c r="I41" s="64">
        <v>3059</v>
      </c>
      <c r="J41" s="82" t="s">
        <v>183</v>
      </c>
      <c r="K41" s="90"/>
      <c r="M41" s="76"/>
      <c r="W41" s="59"/>
    </row>
    <row r="42" spans="1:24" ht="17" thickTop="1" thickBot="1">
      <c r="A42" s="78"/>
      <c r="B42" s="23"/>
      <c r="C42" s="53">
        <v>0</v>
      </c>
      <c r="D42" s="53">
        <v>0</v>
      </c>
      <c r="E42" s="58">
        <v>0</v>
      </c>
      <c r="F42" s="58">
        <v>0</v>
      </c>
      <c r="G42" s="58">
        <v>0</v>
      </c>
      <c r="H42" s="72">
        <v>0</v>
      </c>
      <c r="I42" s="24"/>
      <c r="J42" s="66"/>
      <c r="K42" s="91"/>
      <c r="M42" s="89"/>
      <c r="W42" s="59"/>
    </row>
    <row r="43" spans="1:24" ht="16" thickBot="1">
      <c r="I43" s="49"/>
      <c r="L43" s="14"/>
      <c r="V43" s="59"/>
    </row>
    <row r="44" spans="1:24" ht="16" thickBot="1">
      <c r="A44" s="102" t="s">
        <v>245</v>
      </c>
      <c r="B44" s="48" t="s">
        <v>213</v>
      </c>
      <c r="C44" s="86">
        <v>3</v>
      </c>
      <c r="D44" s="86">
        <v>7</v>
      </c>
      <c r="E44" s="86">
        <v>8</v>
      </c>
      <c r="F44" s="86">
        <v>12</v>
      </c>
      <c r="G44" s="86">
        <v>15</v>
      </c>
      <c r="H44" s="86">
        <v>31</v>
      </c>
      <c r="I44" s="98">
        <v>32</v>
      </c>
      <c r="J44" s="21"/>
      <c r="K44" s="21"/>
      <c r="L44" s="14"/>
      <c r="V44" s="59"/>
    </row>
    <row r="45" spans="1:24">
      <c r="A45" s="103"/>
      <c r="B45" s="21" t="s">
        <v>214</v>
      </c>
      <c r="C45" s="94" t="s">
        <v>232</v>
      </c>
      <c r="D45" s="21" t="s">
        <v>216</v>
      </c>
      <c r="E45" s="21" t="s">
        <v>218</v>
      </c>
      <c r="F45" s="26" t="s">
        <v>219</v>
      </c>
      <c r="G45" s="26" t="s">
        <v>220</v>
      </c>
      <c r="H45" s="26" t="s">
        <v>221</v>
      </c>
      <c r="I45" s="97" t="s">
        <v>222</v>
      </c>
      <c r="J45" s="21"/>
      <c r="K45" s="21"/>
      <c r="L45" s="14"/>
      <c r="V45" s="59"/>
    </row>
    <row r="46" spans="1:24">
      <c r="A46" s="103"/>
      <c r="B46" s="21" t="s">
        <v>214</v>
      </c>
      <c r="C46" s="96" t="s">
        <v>233</v>
      </c>
      <c r="D46" s="21" t="s">
        <v>234</v>
      </c>
      <c r="E46" s="26" t="s">
        <v>235</v>
      </c>
      <c r="F46" s="26" t="s">
        <v>236</v>
      </c>
      <c r="G46" s="26" t="s">
        <v>237</v>
      </c>
      <c r="H46" s="26" t="s">
        <v>238</v>
      </c>
      <c r="I46" s="97" t="s">
        <v>230</v>
      </c>
      <c r="J46" s="21"/>
      <c r="K46" s="21"/>
      <c r="L46" s="14"/>
      <c r="V46" s="93"/>
    </row>
    <row r="47" spans="1:24" ht="16" thickBot="1">
      <c r="A47" s="103"/>
      <c r="B47" s="21" t="s">
        <v>214</v>
      </c>
      <c r="C47" s="96" t="s">
        <v>239</v>
      </c>
      <c r="D47" s="21" t="s">
        <v>240</v>
      </c>
      <c r="E47" s="26" t="s">
        <v>241</v>
      </c>
      <c r="F47" s="26" t="s">
        <v>242</v>
      </c>
      <c r="G47" s="26" t="s">
        <v>243</v>
      </c>
      <c r="H47" s="26" t="s">
        <v>244</v>
      </c>
      <c r="I47" s="97" t="s">
        <v>231</v>
      </c>
      <c r="J47" s="21"/>
      <c r="K47" s="21"/>
      <c r="L47" s="14"/>
      <c r="V47" s="93"/>
    </row>
    <row r="48" spans="1:24" ht="16" thickBot="1">
      <c r="A48" s="104"/>
      <c r="B48" s="48" t="s">
        <v>217</v>
      </c>
      <c r="C48" s="86"/>
      <c r="D48" s="86" t="s">
        <v>223</v>
      </c>
      <c r="E48" s="86" t="s">
        <v>224</v>
      </c>
      <c r="F48" s="86" t="s">
        <v>225</v>
      </c>
      <c r="G48" s="86" t="s">
        <v>226</v>
      </c>
      <c r="H48" s="86" t="s">
        <v>227</v>
      </c>
      <c r="I48" s="98" t="s">
        <v>228</v>
      </c>
      <c r="J48" s="21"/>
      <c r="K48" s="111" t="s">
        <v>251</v>
      </c>
      <c r="L48" s="111"/>
      <c r="M48" s="111"/>
      <c r="N48" s="111"/>
      <c r="O48" s="111"/>
      <c r="P48" s="111"/>
      <c r="V48" s="59"/>
    </row>
    <row r="49" spans="1:9" ht="16" thickBot="1">
      <c r="I49" s="49"/>
    </row>
    <row r="50" spans="1:9">
      <c r="A50" s="105" t="s">
        <v>246</v>
      </c>
      <c r="B50" s="18"/>
      <c r="C50" s="18"/>
      <c r="D50" s="18"/>
      <c r="E50" s="18"/>
      <c r="F50" s="18"/>
      <c r="G50" s="18"/>
      <c r="H50" s="18"/>
      <c r="I50" s="99"/>
    </row>
    <row r="51" spans="1:9">
      <c r="A51" s="106"/>
      <c r="B51" s="100"/>
      <c r="C51" s="21"/>
      <c r="D51" s="21"/>
      <c r="E51" s="21"/>
      <c r="F51" s="21"/>
      <c r="G51" s="21"/>
      <c r="H51" s="21"/>
      <c r="I51" s="22"/>
    </row>
    <row r="52" spans="1:9">
      <c r="A52" s="106"/>
      <c r="B52" s="21"/>
      <c r="C52" s="21"/>
      <c r="D52" s="21"/>
      <c r="E52" s="21"/>
      <c r="F52" s="21"/>
      <c r="G52" s="21"/>
      <c r="H52" s="21"/>
      <c r="I52" s="22"/>
    </row>
    <row r="53" spans="1:9">
      <c r="A53" s="106"/>
      <c r="B53" s="21"/>
      <c r="C53" s="21"/>
      <c r="D53" s="21"/>
      <c r="E53" s="21"/>
      <c r="F53" s="21"/>
      <c r="G53" s="21"/>
      <c r="H53" s="21"/>
      <c r="I53" s="22"/>
    </row>
    <row r="54" spans="1:9" ht="16" thickBot="1">
      <c r="A54" s="107"/>
      <c r="B54" s="24"/>
      <c r="C54" s="24"/>
      <c r="D54" s="24"/>
      <c r="E54" s="24"/>
      <c r="F54" s="24"/>
      <c r="G54" s="24"/>
      <c r="H54" s="24"/>
      <c r="I54" s="25"/>
    </row>
  </sheetData>
  <mergeCells count="7">
    <mergeCell ref="G4:M4"/>
    <mergeCell ref="G8:K8"/>
    <mergeCell ref="K48:P48"/>
    <mergeCell ref="A44:A48"/>
    <mergeCell ref="A50:A54"/>
    <mergeCell ref="I23:L23"/>
    <mergeCell ref="G15:M15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2022-05-09T07:33:22Z</dcterms:created>
  <dcterms:modified xsi:type="dcterms:W3CDTF">2022-05-15T04:16:52Z</dcterms:modified>
</cp:coreProperties>
</file>