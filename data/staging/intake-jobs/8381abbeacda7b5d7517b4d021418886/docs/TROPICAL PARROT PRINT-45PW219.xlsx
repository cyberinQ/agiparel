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45PW219;" sheetId="1" r:id="rId1"/>
  </sheets>
  <externalReferences>
    <externalReference r:id="rId2"/>
  </externalReferences>
  <definedNames>
    <definedName name="AZAD">'[1].'!$A$1:$IV$65536</definedName>
  </definedNames>
  <calcPr calcId="125725"/>
</workbook>
</file>

<file path=xl/calcChain.xml><?xml version="1.0" encoding="utf-8"?>
<calcChain xmlns="http://schemas.openxmlformats.org/spreadsheetml/2006/main">
  <c r="A46" i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G50"/>
  <c r="K50" s="1"/>
  <c r="F50"/>
  <c r="G62"/>
  <c r="K62" s="1"/>
  <c r="F62"/>
  <c r="K61"/>
  <c r="G61"/>
  <c r="F61"/>
  <c r="G60" l="1"/>
  <c r="K60" s="1"/>
  <c r="F60"/>
  <c r="K44"/>
  <c r="G44"/>
  <c r="F44"/>
  <c r="G42"/>
  <c r="K42" s="1"/>
  <c r="F42"/>
  <c r="K41"/>
  <c r="G41"/>
  <c r="F41"/>
  <c r="G40"/>
  <c r="K40" s="1"/>
  <c r="F40"/>
  <c r="K39"/>
  <c r="G39"/>
  <c r="F39"/>
  <c r="K24"/>
  <c r="G24"/>
  <c r="F24"/>
  <c r="G23"/>
  <c r="K23" s="1"/>
  <c r="F23"/>
  <c r="K22"/>
  <c r="G22"/>
  <c r="F22"/>
  <c r="K25"/>
  <c r="G25"/>
  <c r="F25"/>
  <c r="G21"/>
  <c r="K21" s="1"/>
  <c r="F21"/>
  <c r="G56"/>
  <c r="K56" s="1"/>
  <c r="F56"/>
  <c r="G27" l="1"/>
  <c r="K27" s="1"/>
  <c r="F27"/>
  <c r="E45"/>
  <c r="G93" s="1"/>
  <c r="G99"/>
  <c r="E99"/>
  <c r="D99"/>
  <c r="G97"/>
  <c r="E97"/>
  <c r="D97"/>
  <c r="G95"/>
  <c r="E95"/>
  <c r="D95"/>
  <c r="E93"/>
  <c r="D93"/>
  <c r="G91"/>
  <c r="E91"/>
  <c r="D91"/>
  <c r="G89"/>
  <c r="E89"/>
  <c r="D89"/>
  <c r="G87"/>
  <c r="E87"/>
  <c r="D87"/>
  <c r="M85"/>
  <c r="L85"/>
  <c r="K85"/>
  <c r="G85"/>
  <c r="E85"/>
  <c r="D85"/>
  <c r="M83"/>
  <c r="L83"/>
  <c r="K83"/>
  <c r="G83"/>
  <c r="E83"/>
  <c r="D83"/>
  <c r="M81"/>
  <c r="L81"/>
  <c r="K81"/>
  <c r="G81"/>
  <c r="E81"/>
  <c r="D81"/>
  <c r="M79"/>
  <c r="L79"/>
  <c r="K79"/>
  <c r="G79"/>
  <c r="E79"/>
  <c r="D79"/>
  <c r="M77"/>
  <c r="L77"/>
  <c r="K77"/>
  <c r="G77"/>
  <c r="E77"/>
  <c r="D77"/>
  <c r="M75"/>
  <c r="L75"/>
  <c r="K75"/>
  <c r="G75"/>
  <c r="E75"/>
  <c r="D75"/>
  <c r="M73"/>
  <c r="M97" s="1"/>
  <c r="L73"/>
  <c r="L97" s="1"/>
  <c r="K73"/>
  <c r="K97" s="1"/>
  <c r="G73"/>
  <c r="E73"/>
  <c r="D73"/>
  <c r="M71"/>
  <c r="M99" s="1"/>
  <c r="L71"/>
  <c r="L99" s="1"/>
  <c r="K71"/>
  <c r="K99" s="1"/>
  <c r="G71"/>
  <c r="E71"/>
  <c r="D71"/>
  <c r="M69"/>
  <c r="L69"/>
  <c r="K69"/>
  <c r="G69"/>
  <c r="E69"/>
  <c r="D69"/>
  <c r="J65"/>
  <c r="I5" s="1"/>
  <c r="I65"/>
  <c r="G64"/>
  <c r="K64" s="1"/>
  <c r="F64"/>
  <c r="G63"/>
  <c r="K63" s="1"/>
  <c r="F63"/>
  <c r="G59"/>
  <c r="K59" s="1"/>
  <c r="F59"/>
  <c r="G58"/>
  <c r="K58" s="1"/>
  <c r="F58"/>
  <c r="G57"/>
  <c r="K57" s="1"/>
  <c r="F57"/>
  <c r="G55"/>
  <c r="K55" s="1"/>
  <c r="F55"/>
  <c r="G54"/>
  <c r="K54" s="1"/>
  <c r="F54"/>
  <c r="G53"/>
  <c r="K53" s="1"/>
  <c r="F53"/>
  <c r="G52"/>
  <c r="K52" s="1"/>
  <c r="F52"/>
  <c r="G51"/>
  <c r="K51" s="1"/>
  <c r="F51"/>
  <c r="G49"/>
  <c r="K49" s="1"/>
  <c r="F49"/>
  <c r="G48"/>
  <c r="K48" s="1"/>
  <c r="F48"/>
  <c r="G47"/>
  <c r="K47" s="1"/>
  <c r="F47"/>
  <c r="G46"/>
  <c r="K46" s="1"/>
  <c r="F46"/>
  <c r="G43"/>
  <c r="K43" s="1"/>
  <c r="F43"/>
  <c r="G38"/>
  <c r="K38" s="1"/>
  <c r="F38"/>
  <c r="G37"/>
  <c r="K37" s="1"/>
  <c r="F37"/>
  <c r="G36"/>
  <c r="K36" s="1"/>
  <c r="F36"/>
  <c r="G34"/>
  <c r="K34" s="1"/>
  <c r="F34"/>
  <c r="G33"/>
  <c r="K33" s="1"/>
  <c r="F33"/>
  <c r="G32"/>
  <c r="K32" s="1"/>
  <c r="F32"/>
  <c r="G31"/>
  <c r="K31" s="1"/>
  <c r="F31"/>
  <c r="G30"/>
  <c r="K30" s="1"/>
  <c r="F30"/>
  <c r="G29"/>
  <c r="K29" s="1"/>
  <c r="F29"/>
  <c r="G26"/>
  <c r="K26" s="1"/>
  <c r="F26"/>
  <c r="G20"/>
  <c r="K20" s="1"/>
  <c r="F20"/>
  <c r="G19"/>
  <c r="K19" s="1"/>
  <c r="F19"/>
  <c r="G18"/>
  <c r="K18" s="1"/>
  <c r="F18"/>
  <c r="G16"/>
  <c r="K16" s="1"/>
  <c r="F16"/>
  <c r="G15"/>
  <c r="K15" s="1"/>
  <c r="F15"/>
  <c r="G14"/>
  <c r="K14" s="1"/>
  <c r="F14"/>
  <c r="G13"/>
  <c r="K13" s="1"/>
  <c r="F13"/>
  <c r="G12"/>
  <c r="K12" s="1"/>
  <c r="F12"/>
  <c r="G11"/>
  <c r="K11" s="1"/>
  <c r="F11"/>
  <c r="G10"/>
  <c r="K10" s="1"/>
  <c r="F10"/>
  <c r="A10"/>
  <c r="G9"/>
  <c r="K9" s="1"/>
  <c r="F9"/>
  <c r="A18" l="1"/>
  <c r="A11"/>
  <c r="A12" s="1"/>
  <c r="A13" s="1"/>
  <c r="A14" s="1"/>
  <c r="A15" s="1"/>
  <c r="A16" s="1"/>
  <c r="G45"/>
  <c r="K45" s="1"/>
  <c r="F45"/>
  <c r="E65"/>
  <c r="L65" s="1"/>
  <c r="K95"/>
  <c r="L95"/>
  <c r="G101"/>
  <c r="C3" s="1"/>
  <c r="E101"/>
  <c r="L93" s="1"/>
  <c r="M95"/>
  <c r="D101"/>
  <c r="K93" s="1"/>
  <c r="K87"/>
  <c r="M87"/>
  <c r="L87"/>
  <c r="A19" l="1"/>
  <c r="A20" s="1"/>
  <c r="M93"/>
  <c r="I3"/>
  <c r="K4" s="1"/>
  <c r="L101"/>
  <c r="C4"/>
  <c r="C5" s="1"/>
  <c r="E3" s="1"/>
  <c r="H50" s="1"/>
  <c r="M101"/>
  <c r="I4"/>
  <c r="K101"/>
  <c r="H62" l="1"/>
  <c r="H61"/>
  <c r="H44"/>
  <c r="H60"/>
  <c r="H42"/>
  <c r="H40"/>
  <c r="H41"/>
  <c r="H39"/>
  <c r="A21"/>
  <c r="A22" s="1"/>
  <c r="A23" s="1"/>
  <c r="A24" s="1"/>
  <c r="A25" s="1"/>
  <c r="A26" s="1"/>
  <c r="A27" s="1"/>
  <c r="A29" s="1"/>
  <c r="A30" s="1"/>
  <c r="H23"/>
  <c r="H24"/>
  <c r="H22"/>
  <c r="H21"/>
  <c r="H25"/>
  <c r="H27"/>
  <c r="H56"/>
  <c r="K3"/>
  <c r="H49"/>
  <c r="H46"/>
  <c r="H37"/>
  <c r="H32"/>
  <c r="H26"/>
  <c r="H19"/>
  <c r="H14"/>
  <c r="H11"/>
  <c r="H9"/>
  <c r="H7"/>
  <c r="E4"/>
  <c r="F4" s="1"/>
  <c r="F3"/>
  <c r="L50" s="1"/>
  <c r="H63"/>
  <c r="H58"/>
  <c r="H55"/>
  <c r="H53"/>
  <c r="H51"/>
  <c r="H48"/>
  <c r="H47"/>
  <c r="H45"/>
  <c r="H38"/>
  <c r="H36"/>
  <c r="H33"/>
  <c r="H31"/>
  <c r="H29"/>
  <c r="H20"/>
  <c r="H18"/>
  <c r="H15"/>
  <c r="H13"/>
  <c r="H12"/>
  <c r="H10"/>
  <c r="E5"/>
  <c r="F5" s="1"/>
  <c r="H64"/>
  <c r="H59"/>
  <c r="H57"/>
  <c r="H54"/>
  <c r="H52"/>
  <c r="H43"/>
  <c r="H34"/>
  <c r="H30"/>
  <c r="H16"/>
  <c r="L61" l="1"/>
  <c r="L62"/>
  <c r="L44"/>
  <c r="L60"/>
  <c r="L41"/>
  <c r="L39"/>
  <c r="L42"/>
  <c r="L40"/>
  <c r="L24"/>
  <c r="L22"/>
  <c r="L23"/>
  <c r="A31"/>
  <c r="A32" s="1"/>
  <c r="A33" s="1"/>
  <c r="A34" s="1"/>
  <c r="L25"/>
  <c r="L21"/>
  <c r="L27"/>
  <c r="L56"/>
  <c r="H65"/>
  <c r="L53"/>
  <c r="L51"/>
  <c r="L38"/>
  <c r="L33"/>
  <c r="L29"/>
  <c r="L15"/>
  <c r="L12"/>
  <c r="L64"/>
  <c r="L59"/>
  <c r="L57"/>
  <c r="L54"/>
  <c r="L52"/>
  <c r="L49"/>
  <c r="L46"/>
  <c r="L43"/>
  <c r="L37"/>
  <c r="L34"/>
  <c r="L32"/>
  <c r="L30"/>
  <c r="L26"/>
  <c r="L19"/>
  <c r="L16"/>
  <c r="L14"/>
  <c r="L11"/>
  <c r="L9"/>
  <c r="L63"/>
  <c r="L58"/>
  <c r="L55"/>
  <c r="L48"/>
  <c r="L47"/>
  <c r="L45"/>
  <c r="L36"/>
  <c r="L31"/>
  <c r="L20"/>
  <c r="L18"/>
  <c r="L13"/>
  <c r="L10"/>
  <c r="A36" l="1"/>
  <c r="A37" l="1"/>
  <c r="A38" s="1"/>
  <c r="A39" s="1"/>
  <c r="A40" s="1"/>
  <c r="A41" s="1"/>
  <c r="A42" s="1"/>
  <c r="A43" s="1"/>
  <c r="A44" s="1"/>
  <c r="A45" s="1"/>
</calcChain>
</file>

<file path=xl/sharedStrings.xml><?xml version="1.0" encoding="utf-8"?>
<sst xmlns="http://schemas.openxmlformats.org/spreadsheetml/2006/main" count="216" uniqueCount="129">
  <si>
    <t>OPERATION BULLETIN</t>
  </si>
  <si>
    <t>MEGA  APPARELS LTD</t>
  </si>
  <si>
    <t>Style #/ Buyer</t>
  </si>
  <si>
    <t>DAY</t>
  </si>
  <si>
    <t>Hr</t>
  </si>
  <si>
    <t>Machine SAM</t>
  </si>
  <si>
    <t>Target 100%</t>
  </si>
  <si>
    <t>Total Operators</t>
  </si>
  <si>
    <t>Pcs/mc</t>
  </si>
  <si>
    <t xml:space="preserve">Prepared on </t>
  </si>
  <si>
    <t>Manual SAM</t>
  </si>
  <si>
    <t>Target 75%</t>
  </si>
  <si>
    <t>Total Non Operators</t>
  </si>
  <si>
    <t>MMR</t>
  </si>
  <si>
    <t>Prepared by</t>
  </si>
  <si>
    <t>IED</t>
  </si>
  <si>
    <t>Total SAM</t>
  </si>
  <si>
    <t>Target 70%</t>
  </si>
  <si>
    <t xml:space="preserve">Total </t>
  </si>
  <si>
    <t>TAKT TIME</t>
  </si>
  <si>
    <t>Revision on.</t>
  </si>
  <si>
    <t>Sl .No</t>
  </si>
  <si>
    <t>Operation</t>
  </si>
  <si>
    <t>Machine</t>
  </si>
  <si>
    <t>SAM</t>
  </si>
  <si>
    <t>SAM In SEC</t>
  </si>
  <si>
    <t>Balance</t>
  </si>
  <si>
    <t>Work station</t>
  </si>
  <si>
    <t>OPR</t>
  </si>
  <si>
    <t xml:space="preserve">PPH </t>
  </si>
  <si>
    <t>Balancing</t>
  </si>
  <si>
    <t>Remarks</t>
  </si>
  <si>
    <t>PPH /mc</t>
  </si>
  <si>
    <t xml:space="preserve"> Act</t>
  </si>
  <si>
    <t xml:space="preserve">Collar </t>
  </si>
  <si>
    <t>Mark for Collar Run stitch</t>
  </si>
  <si>
    <t>HELPER</t>
  </si>
  <si>
    <t>Collar Making (Run stitch)</t>
  </si>
  <si>
    <t>SNEC</t>
  </si>
  <si>
    <t>Trims,Turn &amp; press collar</t>
  </si>
  <si>
    <t>COLLAR PRESS</t>
  </si>
  <si>
    <t>T/S Collar</t>
  </si>
  <si>
    <t>SNLS</t>
  </si>
  <si>
    <t>Cut excess at btm Collar Band</t>
  </si>
  <si>
    <t>Crease Collar</t>
  </si>
  <si>
    <t>I-TABLE</t>
  </si>
  <si>
    <t>Mark collar  for attach</t>
  </si>
  <si>
    <t>COLLAR NOTCHER</t>
  </si>
  <si>
    <t xml:space="preserve"> Inspection</t>
  </si>
  <si>
    <t>Back panel inspection</t>
  </si>
  <si>
    <t>CHECKING</t>
  </si>
  <si>
    <t>FRONT</t>
  </si>
  <si>
    <t>PLKT FUSING</t>
  </si>
  <si>
    <t>PKT CREASER</t>
  </si>
  <si>
    <t>Size &amp; care Label attach to front part</t>
  </si>
  <si>
    <t xml:space="preserve">Trim front neck </t>
  </si>
  <si>
    <t>BACK</t>
  </si>
  <si>
    <t xml:space="preserve">Att  labels to Back </t>
  </si>
  <si>
    <t>Make back Pleate</t>
  </si>
  <si>
    <t>Back bottom hemming</t>
  </si>
  <si>
    <t>Back yoke attach by Folder</t>
  </si>
  <si>
    <t>Trim back neck</t>
  </si>
  <si>
    <t>ASSEMBALY</t>
  </si>
  <si>
    <t>Shoulder join by folder</t>
  </si>
  <si>
    <t>Collar attach</t>
  </si>
  <si>
    <t>Attach twill tape</t>
  </si>
  <si>
    <t>Collar close with label</t>
  </si>
  <si>
    <t>Make buttonhole Front x6</t>
  </si>
  <si>
    <t>BUTTON HOLE</t>
  </si>
  <si>
    <t>Attach front button x6</t>
  </si>
  <si>
    <t>BUTTON SEW</t>
  </si>
  <si>
    <t>Inspection</t>
  </si>
  <si>
    <t>Front bottom hemming</t>
  </si>
  <si>
    <t>Side slit making</t>
  </si>
  <si>
    <t>DNLS(with UBT)</t>
  </si>
  <si>
    <t>Trim high low</t>
  </si>
  <si>
    <t>Sleeve  Match</t>
  </si>
  <si>
    <t>Sleeve attach by folder</t>
  </si>
  <si>
    <t>DNCS</t>
  </si>
  <si>
    <t>Arm hole out line - Folder</t>
  </si>
  <si>
    <t>SNCS</t>
  </si>
  <si>
    <t>Trim at side seam</t>
  </si>
  <si>
    <t>Side Seam</t>
  </si>
  <si>
    <t>FOA</t>
  </si>
  <si>
    <t>Side Seam inspection</t>
  </si>
  <si>
    <t>Bartack @ slit (2)</t>
  </si>
  <si>
    <t>Bartack</t>
  </si>
  <si>
    <t>Thread Trimming</t>
  </si>
  <si>
    <t>MACHINE TYPE</t>
  </si>
  <si>
    <t>WORK STATION</t>
  </si>
  <si>
    <t>NON-OPR</t>
  </si>
  <si>
    <t>machine</t>
  </si>
  <si>
    <t>DNLS</t>
  </si>
  <si>
    <t>CUFF PRESS</t>
  </si>
  <si>
    <t>DNSB</t>
  </si>
  <si>
    <t>Fusing-Slv Plkt</t>
  </si>
  <si>
    <t>3T O/L</t>
  </si>
  <si>
    <t>5T O/L</t>
  </si>
  <si>
    <t>WELT</t>
  </si>
  <si>
    <t>TOTAL</t>
  </si>
  <si>
    <t>FLATLOCK</t>
  </si>
  <si>
    <t>BARTACK</t>
  </si>
  <si>
    <t>SUMMARY</t>
  </si>
  <si>
    <t>OPERATORS</t>
  </si>
  <si>
    <t>KANSAI</t>
  </si>
  <si>
    <t>IRONERS</t>
  </si>
  <si>
    <t>PLKT CUTTER</t>
  </si>
  <si>
    <t>CHECKERS</t>
  </si>
  <si>
    <t xml:space="preserve">Extra &amp; Collar band  Button attach </t>
  </si>
  <si>
    <t>Sleeve  Hemming</t>
  </si>
  <si>
    <t>Attach Side Seam IZOD Tab</t>
  </si>
  <si>
    <t>Serge  front placket</t>
  </si>
  <si>
    <t>Mark for Front Placket att</t>
  </si>
  <si>
    <t>Attach Spagatti loop</t>
  </si>
  <si>
    <t>Prepare Spagatti loop</t>
  </si>
  <si>
    <t>Edge Stitch on front placket</t>
  </si>
  <si>
    <t>Front placket Pressing</t>
  </si>
  <si>
    <t xml:space="preserve">Attach Front Placket </t>
  </si>
  <si>
    <t>Tack Front placket at collar ends</t>
  </si>
  <si>
    <t>Trim &amp; Turn at collar plkt ends</t>
  </si>
  <si>
    <t>Sew Bartack at slv eds</t>
  </si>
  <si>
    <t xml:space="preserve">Make "Z"  buttonhole </t>
  </si>
  <si>
    <t xml:space="preserve">Make"Z"  buttonhole </t>
  </si>
  <si>
    <t>Tack Front Placket at shoulder ends</t>
  </si>
  <si>
    <t>Mark for Deco stitch on collar</t>
  </si>
  <si>
    <t>Sew  for Deco stitch collar</t>
  </si>
  <si>
    <t>Sleeve Hem  Pressing</t>
  </si>
  <si>
    <t>45PW219;</t>
  </si>
  <si>
    <t>DESCRIPTION: Mens Short slv,TROPICAL PARROT PRINT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</si>
</sst>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1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indexed="12"/>
      <name val="Times New Roman"/>
      <family val="1"/>
    </font>
    <font>
      <b/>
      <sz val="11"/>
      <color rgb="FF0000FF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0"/>
      <color indexed="12"/>
      <name val="Times New Roman"/>
      <family val="1"/>
    </font>
    <font>
      <b/>
      <sz val="10"/>
      <name val="Forte"/>
      <family val="4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3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13"/>
        <bgColor indexed="34"/>
      </patternFill>
    </fill>
    <fill>
      <patternFill patternType="solid">
        <fgColor theme="3" tint="0.59999389629810485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3" fillId="0" borderId="0">
      <alignment vertical="top"/>
    </xf>
  </cellStyleXfs>
  <cellXfs count="210">
    <xf numFmtId="0" fontId="0" fillId="0" borderId="0" xfId="0"/>
    <xf numFmtId="0" fontId="3" fillId="0" borderId="6" xfId="0" applyFont="1" applyBorder="1"/>
    <xf numFmtId="0" fontId="4" fillId="0" borderId="7" xfId="0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center" vertical="center"/>
    </xf>
    <xf numFmtId="0" fontId="3" fillId="0" borderId="0" xfId="0" applyFont="1"/>
    <xf numFmtId="0" fontId="3" fillId="0" borderId="10" xfId="0" applyFont="1" applyBorder="1"/>
    <xf numFmtId="0" fontId="4" fillId="0" borderId="11" xfId="0" applyFont="1" applyFill="1" applyBorder="1" applyAlignment="1">
      <alignment horizontal="right" vertical="center"/>
    </xf>
    <xf numFmtId="2" fontId="6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164" fontId="6" fillId="3" borderId="11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14" fontId="4" fillId="0" borderId="13" xfId="0" applyNumberFormat="1" applyFont="1" applyBorder="1" applyAlignment="1">
      <alignment horizontal="center" vertical="center"/>
    </xf>
    <xf numFmtId="0" fontId="3" fillId="0" borderId="14" xfId="0" applyFont="1" applyBorder="1"/>
    <xf numFmtId="0" fontId="4" fillId="0" borderId="15" xfId="0" applyFont="1" applyFill="1" applyBorder="1" applyAlignment="1">
      <alignment horizontal="right" vertical="center"/>
    </xf>
    <xf numFmtId="2" fontId="6" fillId="0" borderId="15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" fontId="6" fillId="0" borderId="16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164" fontId="6" fillId="3" borderId="15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2" fontId="7" fillId="0" borderId="15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3" fillId="0" borderId="18" xfId="0" applyFont="1" applyBorder="1"/>
    <xf numFmtId="0" fontId="4" fillId="0" borderId="19" xfId="0" applyFont="1" applyFill="1" applyBorder="1" applyAlignment="1">
      <alignment horizontal="right" vertical="center"/>
    </xf>
    <xf numFmtId="2" fontId="6" fillId="0" borderId="19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" fontId="6" fillId="0" borderId="20" xfId="0" applyNumberFormat="1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164" fontId="6" fillId="3" borderId="19" xfId="0" applyNumberFormat="1" applyFont="1" applyFill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19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8" fillId="0" borderId="25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1" fontId="8" fillId="0" borderId="29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8" fillId="0" borderId="32" xfId="0" applyFont="1" applyBorder="1" applyAlignment="1">
      <alignment horizontal="center" wrapText="1"/>
    </xf>
    <xf numFmtId="165" fontId="8" fillId="0" borderId="23" xfId="0" applyNumberFormat="1" applyFont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/>
    </xf>
    <xf numFmtId="1" fontId="8" fillId="0" borderId="23" xfId="0" applyNumberFormat="1" applyFont="1" applyBorder="1" applyAlignment="1">
      <alignment horizontal="center"/>
    </xf>
    <xf numFmtId="0" fontId="8" fillId="0" borderId="23" xfId="0" applyFont="1" applyBorder="1" applyAlignment="1">
      <alignment horizontal="center" wrapText="1"/>
    </xf>
    <xf numFmtId="9" fontId="8" fillId="2" borderId="23" xfId="1" applyFont="1" applyFill="1" applyBorder="1" applyAlignment="1" applyProtection="1">
      <alignment horizontal="center"/>
    </xf>
    <xf numFmtId="0" fontId="8" fillId="0" borderId="33" xfId="0" applyFont="1" applyBorder="1" applyAlignment="1">
      <alignment horizontal="center" vertical="center"/>
    </xf>
    <xf numFmtId="0" fontId="9" fillId="2" borderId="34" xfId="0" applyFont="1" applyFill="1" applyBorder="1"/>
    <xf numFmtId="0" fontId="9" fillId="0" borderId="36" xfId="0" applyFont="1" applyBorder="1" applyAlignment="1">
      <alignment horizontal="center" vertical="center"/>
    </xf>
    <xf numFmtId="2" fontId="8" fillId="4" borderId="37" xfId="0" applyNumberFormat="1" applyFont="1" applyFill="1" applyBorder="1" applyAlignment="1">
      <alignment horizontal="center" vertical="center"/>
    </xf>
    <xf numFmtId="1" fontId="9" fillId="0" borderId="37" xfId="0" applyNumberFormat="1" applyFont="1" applyFill="1" applyBorder="1" applyAlignment="1">
      <alignment horizontal="center" vertical="center"/>
    </xf>
    <xf numFmtId="1" fontId="9" fillId="0" borderId="37" xfId="0" applyNumberFormat="1" applyFont="1" applyBorder="1" applyAlignment="1">
      <alignment horizontal="center"/>
    </xf>
    <xf numFmtId="164" fontId="9" fillId="0" borderId="37" xfId="0" applyNumberFormat="1" applyFont="1" applyBorder="1" applyAlignment="1">
      <alignment horizontal="center"/>
    </xf>
    <xf numFmtId="164" fontId="8" fillId="3" borderId="37" xfId="0" applyNumberFormat="1" applyFont="1" applyFill="1" applyBorder="1" applyAlignment="1">
      <alignment horizontal="center" vertical="center"/>
    </xf>
    <xf numFmtId="1" fontId="9" fillId="0" borderId="37" xfId="0" applyNumberFormat="1" applyFont="1" applyFill="1" applyBorder="1" applyAlignment="1">
      <alignment horizontal="center"/>
    </xf>
    <xf numFmtId="9" fontId="9" fillId="0" borderId="37" xfId="1" applyFont="1" applyFill="1" applyBorder="1" applyAlignment="1" applyProtection="1">
      <alignment horizontal="center"/>
    </xf>
    <xf numFmtId="0" fontId="9" fillId="2" borderId="38" xfId="0" applyFont="1" applyFill="1" applyBorder="1" applyAlignment="1">
      <alignment horizontal="left" vertical="center"/>
    </xf>
    <xf numFmtId="164" fontId="9" fillId="2" borderId="37" xfId="0" applyNumberFormat="1" applyFont="1" applyFill="1" applyBorder="1" applyAlignment="1">
      <alignment horizontal="center"/>
    </xf>
    <xf numFmtId="0" fontId="9" fillId="2" borderId="38" xfId="0" applyFont="1" applyFill="1" applyBorder="1" applyAlignment="1">
      <alignment horizontal="left"/>
    </xf>
    <xf numFmtId="0" fontId="9" fillId="0" borderId="38" xfId="0" applyFont="1" applyFill="1" applyBorder="1" applyAlignment="1">
      <alignment horizontal="left" vertical="center"/>
    </xf>
    <xf numFmtId="0" fontId="9" fillId="2" borderId="39" xfId="0" applyFont="1" applyFill="1" applyBorder="1"/>
    <xf numFmtId="0" fontId="9" fillId="0" borderId="37" xfId="0" applyFont="1" applyBorder="1" applyAlignment="1">
      <alignment horizontal="center" vertical="center"/>
    </xf>
    <xf numFmtId="165" fontId="8" fillId="4" borderId="37" xfId="0" applyNumberFormat="1" applyFont="1" applyFill="1" applyBorder="1" applyAlignment="1">
      <alignment horizontal="center" vertical="center"/>
    </xf>
    <xf numFmtId="2" fontId="9" fillId="0" borderId="37" xfId="0" applyNumberFormat="1" applyFont="1" applyFill="1" applyBorder="1" applyAlignment="1">
      <alignment horizontal="center" vertical="center"/>
    </xf>
    <xf numFmtId="2" fontId="8" fillId="4" borderId="42" xfId="0" applyNumberFormat="1" applyFont="1" applyFill="1" applyBorder="1" applyAlignment="1">
      <alignment horizontal="center" vertical="center"/>
    </xf>
    <xf numFmtId="164" fontId="9" fillId="0" borderId="42" xfId="0" applyNumberFormat="1" applyFont="1" applyBorder="1" applyAlignment="1">
      <alignment horizontal="center"/>
    </xf>
    <xf numFmtId="164" fontId="8" fillId="3" borderId="42" xfId="0" applyNumberFormat="1" applyFont="1" applyFill="1" applyBorder="1" applyAlignment="1">
      <alignment horizontal="center"/>
    </xf>
    <xf numFmtId="1" fontId="9" fillId="0" borderId="42" xfId="0" applyNumberFormat="1" applyFont="1" applyFill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52" xfId="0" applyFont="1" applyBorder="1"/>
    <xf numFmtId="0" fontId="9" fillId="0" borderId="4" xfId="0" applyFont="1" applyBorder="1"/>
    <xf numFmtId="0" fontId="8" fillId="0" borderId="4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2" fontId="8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8" fillId="0" borderId="53" xfId="0" applyNumberFormat="1" applyFont="1" applyBorder="1" applyAlignment="1">
      <alignment horizontal="center"/>
    </xf>
    <xf numFmtId="1" fontId="8" fillId="0" borderId="54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left"/>
    </xf>
    <xf numFmtId="0" fontId="9" fillId="0" borderId="5" xfId="0" applyFont="1" applyBorder="1" applyAlignment="1">
      <alignment horizontal="center"/>
    </xf>
    <xf numFmtId="0" fontId="9" fillId="0" borderId="0" xfId="0" applyFont="1"/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center"/>
    </xf>
    <xf numFmtId="1" fontId="9" fillId="0" borderId="0" xfId="0" applyNumberFormat="1" applyFont="1" applyBorder="1" applyAlignment="1">
      <alignment horizontal="left"/>
    </xf>
    <xf numFmtId="1" fontId="9" fillId="0" borderId="0" xfId="0" applyNumberFormat="1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1" fillId="5" borderId="56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57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24" xfId="0" applyFont="1" applyBorder="1" applyAlignment="1">
      <alignment horizontal="left" vertical="center"/>
    </xf>
    <xf numFmtId="0" fontId="9" fillId="0" borderId="24" xfId="0" applyFont="1" applyBorder="1"/>
    <xf numFmtId="0" fontId="9" fillId="0" borderId="24" xfId="0" applyFont="1" applyBorder="1" applyAlignment="1">
      <alignment horizontal="center"/>
    </xf>
    <xf numFmtId="0" fontId="9" fillId="0" borderId="24" xfId="0" applyFont="1" applyBorder="1" applyAlignment="1">
      <alignment horizontal="left"/>
    </xf>
    <xf numFmtId="0" fontId="8" fillId="0" borderId="24" xfId="0" applyFont="1" applyBorder="1" applyAlignment="1">
      <alignment horizontal="center" vertical="center"/>
    </xf>
    <xf numFmtId="164" fontId="8" fillId="0" borderId="24" xfId="0" applyNumberFormat="1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9" fillId="0" borderId="0" xfId="0" applyFont="1" applyBorder="1"/>
    <xf numFmtId="0" fontId="0" fillId="0" borderId="0" xfId="0" applyBorder="1"/>
    <xf numFmtId="164" fontId="8" fillId="0" borderId="59" xfId="0" applyNumberFormat="1" applyFont="1" applyBorder="1" applyAlignment="1">
      <alignment horizontal="center"/>
    </xf>
    <xf numFmtId="0" fontId="8" fillId="0" borderId="59" xfId="0" applyFont="1" applyBorder="1" applyAlignment="1">
      <alignment horizontal="center"/>
    </xf>
    <xf numFmtId="0" fontId="8" fillId="0" borderId="60" xfId="0" applyFont="1" applyBorder="1" applyAlignment="1">
      <alignment horizontal="center"/>
    </xf>
    <xf numFmtId="164" fontId="8" fillId="0" borderId="61" xfId="0" applyNumberFormat="1" applyFont="1" applyBorder="1" applyAlignment="1">
      <alignment horizontal="center"/>
    </xf>
    <xf numFmtId="164" fontId="8" fillId="0" borderId="63" xfId="0" applyNumberFormat="1" applyFont="1" applyBorder="1" applyAlignment="1">
      <alignment horizontal="center"/>
    </xf>
    <xf numFmtId="0" fontId="8" fillId="0" borderId="63" xfId="0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9" fillId="0" borderId="0" xfId="0" applyFont="1" applyBorder="1" applyAlignment="1"/>
    <xf numFmtId="0" fontId="8" fillId="0" borderId="64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164" fontId="8" fillId="0" borderId="37" xfId="0" applyNumberFormat="1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65" xfId="0" applyFont="1" applyBorder="1" applyAlignment="1">
      <alignment horizontal="center"/>
    </xf>
    <xf numFmtId="164" fontId="8" fillId="0" borderId="66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64" fontId="8" fillId="0" borderId="15" xfId="0" applyNumberFormat="1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164" fontId="8" fillId="0" borderId="17" xfId="0" applyNumberFormat="1" applyFont="1" applyBorder="1" applyAlignment="1">
      <alignment horizontal="center"/>
    </xf>
    <xf numFmtId="164" fontId="8" fillId="0" borderId="19" xfId="0" applyNumberFormat="1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164" fontId="8" fillId="0" borderId="2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1" fillId="5" borderId="55" xfId="0" applyFont="1" applyFill="1" applyBorder="1" applyAlignment="1">
      <alignment horizontal="center"/>
    </xf>
    <xf numFmtId="0" fontId="11" fillId="5" borderId="56" xfId="0" applyFont="1" applyFill="1" applyBorder="1"/>
    <xf numFmtId="1" fontId="11" fillId="5" borderId="56" xfId="0" applyNumberFormat="1" applyFont="1" applyFill="1" applyBorder="1" applyAlignment="1">
      <alignment horizontal="center"/>
    </xf>
    <xf numFmtId="2" fontId="11" fillId="5" borderId="57" xfId="0" applyNumberFormat="1" applyFont="1" applyFill="1" applyBorder="1" applyAlignment="1">
      <alignment horizontal="center"/>
    </xf>
    <xf numFmtId="0" fontId="8" fillId="0" borderId="70" xfId="0" applyFont="1" applyBorder="1" applyAlignment="1">
      <alignment horizontal="center"/>
    </xf>
    <xf numFmtId="0" fontId="8" fillId="0" borderId="71" xfId="0" applyFont="1" applyBorder="1" applyAlignment="1">
      <alignment horizontal="center"/>
    </xf>
    <xf numFmtId="0" fontId="8" fillId="0" borderId="72" xfId="0" applyFont="1" applyBorder="1" applyAlignment="1">
      <alignment horizontal="center"/>
    </xf>
    <xf numFmtId="1" fontId="8" fillId="0" borderId="63" xfId="0" applyNumberFormat="1" applyFont="1" applyBorder="1" applyAlignment="1">
      <alignment horizontal="center"/>
    </xf>
    <xf numFmtId="2" fontId="8" fillId="0" borderId="13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64" fontId="11" fillId="5" borderId="56" xfId="0" applyNumberFormat="1" applyFont="1" applyFill="1" applyBorder="1" applyAlignment="1">
      <alignment horizontal="center"/>
    </xf>
    <xf numFmtId="1" fontId="11" fillId="5" borderId="3" xfId="0" applyNumberFormat="1" applyFont="1" applyFill="1" applyBorder="1" applyAlignment="1">
      <alignment horizontal="center"/>
    </xf>
    <xf numFmtId="0" fontId="11" fillId="5" borderId="56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9" fillId="0" borderId="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35" xfId="0" applyBorder="1" applyAlignment="1">
      <alignment horizontal="left"/>
    </xf>
    <xf numFmtId="0" fontId="4" fillId="0" borderId="19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4" xfId="0" applyNumberFormat="1" applyFont="1" applyBorder="1" applyAlignment="1">
      <alignment horizontal="center" vertical="center" wrapText="1"/>
    </xf>
    <xf numFmtId="0" fontId="8" fillId="0" borderId="30" xfId="0" applyNumberFormat="1" applyFont="1" applyBorder="1" applyAlignment="1">
      <alignment horizontal="center" vertical="center" wrapText="1"/>
    </xf>
    <xf numFmtId="0" fontId="0" fillId="0" borderId="41" xfId="0" applyBorder="1" applyAlignment="1">
      <alignment horizontal="left"/>
    </xf>
    <xf numFmtId="0" fontId="0" fillId="0" borderId="16" xfId="0" applyFill="1" applyBorder="1" applyAlignment="1">
      <alignment horizontal="left"/>
    </xf>
    <xf numFmtId="0" fontId="0" fillId="0" borderId="35" xfId="0" applyFill="1" applyBorder="1" applyAlignment="1">
      <alignment horizontal="left"/>
    </xf>
    <xf numFmtId="0" fontId="8" fillId="0" borderId="40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0" fillId="0" borderId="50" xfId="0" applyFill="1" applyBorder="1" applyAlignment="1">
      <alignment horizontal="left"/>
    </xf>
    <xf numFmtId="0" fontId="0" fillId="0" borderId="41" xfId="0" applyFill="1" applyBorder="1" applyAlignment="1">
      <alignment horizontal="left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16" xfId="0" applyFill="1" applyBorder="1" applyAlignment="1"/>
    <xf numFmtId="0" fontId="0" fillId="0" borderId="35" xfId="0" applyFill="1" applyBorder="1" applyAlignment="1"/>
    <xf numFmtId="0" fontId="0" fillId="0" borderId="48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50" xfId="0" applyBorder="1" applyAlignment="1">
      <alignment horizontal="left"/>
    </xf>
    <xf numFmtId="0" fontId="11" fillId="5" borderId="55" xfId="0" applyFont="1" applyFill="1" applyBorder="1" applyAlignment="1">
      <alignment horizontal="center" vertical="center" wrapText="1"/>
    </xf>
    <xf numFmtId="0" fontId="11" fillId="5" borderId="56" xfId="0" applyFont="1" applyFill="1" applyBorder="1" applyAlignment="1">
      <alignment horizontal="center" vertical="center" wrapText="1"/>
    </xf>
    <xf numFmtId="0" fontId="10" fillId="0" borderId="35" xfId="0" applyFont="1" applyFill="1" applyBorder="1" applyAlignment="1">
      <alignment horizontal="left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/>
    </xf>
    <xf numFmtId="0" fontId="8" fillId="0" borderId="76" xfId="0" applyFont="1" applyBorder="1" applyAlignment="1">
      <alignment horizontal="center"/>
    </xf>
    <xf numFmtId="0" fontId="8" fillId="0" borderId="67" xfId="0" applyFont="1" applyBorder="1" applyAlignment="1">
      <alignment horizontal="center"/>
    </xf>
    <xf numFmtId="0" fontId="8" fillId="0" borderId="73" xfId="0" applyFont="1" applyBorder="1" applyAlignment="1">
      <alignment horizontal="center"/>
    </xf>
    <xf numFmtId="0" fontId="8" fillId="0" borderId="74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2" fillId="6" borderId="67" xfId="0" applyFont="1" applyFill="1" applyBorder="1" applyAlignment="1">
      <alignment horizontal="center"/>
    </xf>
    <xf numFmtId="0" fontId="12" fillId="6" borderId="68" xfId="0" applyFont="1" applyFill="1" applyBorder="1" applyAlignment="1">
      <alignment horizontal="center"/>
    </xf>
    <xf numFmtId="0" fontId="12" fillId="6" borderId="69" xfId="0" applyFont="1" applyFill="1" applyBorder="1" applyAlignment="1">
      <alignment horizontal="center"/>
    </xf>
  </cellXfs>
  <cellStyles count="3">
    <cellStyle name="Normal" xfId="0" builtinId="0"/>
    <cellStyle name="Percent" xfId="1" builtinId="5"/>
    <cellStyle name="Style 1" xfId="2"/>
  </cellStyles>
  <dxfs count="3">
    <dxf>
      <fill>
        <patternFill>
          <bgColor indexed="15"/>
        </patternFill>
      </fill>
    </dxf>
    <dxf>
      <fill>
        <patternFill>
          <bgColor indexed="45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E%20MEGA%202.IEmega2\Documents\IE%20Mega\OBS\PVH%20MS-17%20,18,19,20,21,22,23%20(Rayon%20&amp;%20Poly%20print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."/>
      <sheetName val="Bullietin "/>
      <sheetName val="Sticker place"/>
      <sheetName val="Sticker Data"/>
      <sheetName val="Thread consumption"/>
      <sheetName val="conspm data"/>
      <sheetName val="TAKING SHEET"/>
      <sheetName val="Sheet2"/>
    </sheetNames>
    <sheetDataSet>
      <sheetData sheetId="0">
        <row r="2">
          <cell r="A2" t="str">
            <v>Last update Data Entry No</v>
          </cell>
        </row>
        <row r="4">
          <cell r="B4" t="str">
            <v>Type</v>
          </cell>
          <cell r="C4" t="str">
            <v>Seq</v>
          </cell>
          <cell r="D4" t="str">
            <v>Components</v>
          </cell>
          <cell r="E4" t="str">
            <v>Operation</v>
          </cell>
          <cell r="F4" t="str">
            <v>Machine/man</v>
          </cell>
          <cell r="G4" t="str">
            <v>Machine code</v>
          </cell>
          <cell r="H4" t="str">
            <v>SMV</v>
          </cell>
          <cell r="I4" t="str">
            <v>Target</v>
          </cell>
          <cell r="J4" t="str">
            <v>Pressure foot</v>
          </cell>
          <cell r="K4" t="str">
            <v>Attachment</v>
          </cell>
          <cell r="L4" t="str">
            <v>match or solid</v>
          </cell>
          <cell r="M4" t="str">
            <v>Update</v>
          </cell>
          <cell r="N4" t="str">
            <v>Remarks</v>
          </cell>
        </row>
        <row r="5">
          <cell r="A5">
            <v>1</v>
          </cell>
          <cell r="B5" t="str">
            <v>Mens</v>
          </cell>
          <cell r="C5">
            <v>1</v>
          </cell>
          <cell r="D5" t="str">
            <v>Collar</v>
          </cell>
          <cell r="E5" t="str">
            <v>Attach Lilling to collar (Solid)</v>
          </cell>
          <cell r="F5" t="str">
            <v>I</v>
          </cell>
          <cell r="G5" t="str">
            <v>Iron Table</v>
          </cell>
          <cell r="H5">
            <v>0.23</v>
          </cell>
          <cell r="I5">
            <v>260.86956521739131</v>
          </cell>
        </row>
        <row r="6">
          <cell r="A6">
            <v>2</v>
          </cell>
          <cell r="B6" t="str">
            <v>Mens</v>
          </cell>
          <cell r="C6">
            <v>1</v>
          </cell>
          <cell r="D6" t="str">
            <v>Collar</v>
          </cell>
          <cell r="E6" t="str">
            <v>Attach Lilling to collar (check match)</v>
          </cell>
          <cell r="F6" t="str">
            <v>I</v>
          </cell>
          <cell r="G6" t="str">
            <v>Iron Table</v>
          </cell>
          <cell r="H6">
            <v>0.4</v>
          </cell>
          <cell r="I6">
            <v>150</v>
          </cell>
        </row>
        <row r="7">
          <cell r="A7">
            <v>3</v>
          </cell>
          <cell r="B7" t="str">
            <v>Mens</v>
          </cell>
          <cell r="C7">
            <v>1</v>
          </cell>
          <cell r="D7" t="str">
            <v>Collar</v>
          </cell>
          <cell r="E7" t="str">
            <v xml:space="preserve">Attach model lillingto collar </v>
          </cell>
          <cell r="F7" t="str">
            <v>I</v>
          </cell>
          <cell r="G7" t="str">
            <v>Iron Table</v>
          </cell>
          <cell r="H7">
            <v>0.35</v>
          </cell>
          <cell r="I7">
            <v>171.42857142857144</v>
          </cell>
        </row>
        <row r="8">
          <cell r="A8">
            <v>4</v>
          </cell>
          <cell r="B8" t="str">
            <v>Mens</v>
          </cell>
          <cell r="C8">
            <v>1</v>
          </cell>
          <cell r="D8" t="str">
            <v>Collar</v>
          </cell>
          <cell r="E8" t="str">
            <v xml:space="preserve">Attach lilling to collar band </v>
          </cell>
          <cell r="F8" t="str">
            <v>I</v>
          </cell>
          <cell r="G8" t="str">
            <v>Iron Table</v>
          </cell>
          <cell r="H8">
            <v>0.2</v>
          </cell>
          <cell r="I8">
            <v>300</v>
          </cell>
        </row>
        <row r="9">
          <cell r="A9">
            <v>5</v>
          </cell>
          <cell r="B9" t="str">
            <v>Mens</v>
          </cell>
          <cell r="C9">
            <v>1</v>
          </cell>
          <cell r="D9" t="str">
            <v>Collar</v>
          </cell>
          <cell r="E9" t="str">
            <v>Attach lilling to collar band (Check Match)</v>
          </cell>
          <cell r="F9" t="str">
            <v>I</v>
          </cell>
          <cell r="G9" t="str">
            <v>Iron Table</v>
          </cell>
          <cell r="H9">
            <v>0.3</v>
          </cell>
          <cell r="I9">
            <v>200</v>
          </cell>
        </row>
        <row r="10">
          <cell r="A10">
            <v>6</v>
          </cell>
          <cell r="B10" t="str">
            <v>Mens</v>
          </cell>
          <cell r="C10">
            <v>1</v>
          </cell>
          <cell r="D10" t="str">
            <v>Collar</v>
          </cell>
          <cell r="E10" t="str">
            <v>Press collar inner patch with mark</v>
          </cell>
          <cell r="F10" t="str">
            <v>I</v>
          </cell>
          <cell r="G10" t="str">
            <v>Iron Table</v>
          </cell>
          <cell r="H10">
            <v>0.6</v>
          </cell>
          <cell r="I10">
            <v>100</v>
          </cell>
        </row>
        <row r="11">
          <cell r="A11">
            <v>7</v>
          </cell>
          <cell r="B11" t="str">
            <v>Mens</v>
          </cell>
          <cell r="C11">
            <v>1</v>
          </cell>
          <cell r="D11" t="str">
            <v>Collar</v>
          </cell>
          <cell r="E11" t="str">
            <v>Mark collar inner part for attach patch</v>
          </cell>
          <cell r="F11" t="str">
            <v>H</v>
          </cell>
          <cell r="G11" t="str">
            <v>Plain Table</v>
          </cell>
          <cell r="H11">
            <v>0.4</v>
          </cell>
          <cell r="I11">
            <v>150</v>
          </cell>
        </row>
        <row r="12">
          <cell r="A12">
            <v>8</v>
          </cell>
          <cell r="B12" t="str">
            <v>Mens</v>
          </cell>
          <cell r="C12">
            <v>1</v>
          </cell>
          <cell r="D12" t="str">
            <v>Collar</v>
          </cell>
          <cell r="E12" t="str">
            <v>Attach collar patch</v>
          </cell>
          <cell r="F12" t="str">
            <v>M</v>
          </cell>
          <cell r="G12" t="str">
            <v>1N2TLS-UBT</v>
          </cell>
          <cell r="H12">
            <v>0.5</v>
          </cell>
          <cell r="I12">
            <v>120</v>
          </cell>
          <cell r="K12" t="str">
            <v>Plain</v>
          </cell>
        </row>
        <row r="13">
          <cell r="A13">
            <v>9</v>
          </cell>
          <cell r="B13" t="str">
            <v>Mens</v>
          </cell>
          <cell r="C13">
            <v>1</v>
          </cell>
          <cell r="D13" t="str">
            <v>Collar</v>
          </cell>
          <cell r="E13" t="str">
            <v>Attach Collar band top 2 part</v>
          </cell>
          <cell r="F13" t="str">
            <v>M</v>
          </cell>
          <cell r="G13" t="str">
            <v>1N2TLS-UBT</v>
          </cell>
          <cell r="H13">
            <v>0.5</v>
          </cell>
          <cell r="I13">
            <v>120</v>
          </cell>
          <cell r="K13" t="str">
            <v>Plain</v>
          </cell>
        </row>
        <row r="14">
          <cell r="A14">
            <v>10</v>
          </cell>
          <cell r="B14" t="str">
            <v>Mens</v>
          </cell>
          <cell r="C14">
            <v>1</v>
          </cell>
          <cell r="D14" t="str">
            <v>Collar</v>
          </cell>
          <cell r="E14" t="str">
            <v>Arrange Collar - solid</v>
          </cell>
          <cell r="F14" t="str">
            <v>H</v>
          </cell>
          <cell r="G14" t="str">
            <v>Plain Table</v>
          </cell>
          <cell r="H14">
            <v>0.2</v>
          </cell>
          <cell r="I14">
            <v>300</v>
          </cell>
        </row>
        <row r="15">
          <cell r="A15">
            <v>11</v>
          </cell>
          <cell r="B15" t="str">
            <v>Mens</v>
          </cell>
          <cell r="C15">
            <v>1</v>
          </cell>
          <cell r="D15" t="str">
            <v>Collar</v>
          </cell>
          <cell r="E15" t="str">
            <v>Make collar manual by pattern</v>
          </cell>
          <cell r="F15" t="str">
            <v>M</v>
          </cell>
          <cell r="G15" t="str">
            <v>1N2TLS-EC</v>
          </cell>
          <cell r="H15">
            <v>0.45</v>
          </cell>
          <cell r="I15">
            <v>133.33333333333334</v>
          </cell>
          <cell r="L15" t="str">
            <v>denim</v>
          </cell>
        </row>
        <row r="16">
          <cell r="A16">
            <v>12</v>
          </cell>
          <cell r="B16" t="str">
            <v>Mens</v>
          </cell>
          <cell r="C16">
            <v>1</v>
          </cell>
          <cell r="D16" t="str">
            <v>Collar</v>
          </cell>
          <cell r="E16" t="str">
            <v>Mark collar for make by pattern</v>
          </cell>
          <cell r="F16" t="str">
            <v>H</v>
          </cell>
          <cell r="G16" t="str">
            <v>Plain Table</v>
          </cell>
          <cell r="H16">
            <v>0.3</v>
          </cell>
          <cell r="I16">
            <v>200</v>
          </cell>
          <cell r="L16" t="str">
            <v>check</v>
          </cell>
        </row>
        <row r="17">
          <cell r="A17">
            <v>13</v>
          </cell>
          <cell r="B17" t="str">
            <v>Mens</v>
          </cell>
          <cell r="C17">
            <v>1</v>
          </cell>
          <cell r="D17" t="str">
            <v>Collar</v>
          </cell>
          <cell r="E17" t="str">
            <v>Mark collar two part</v>
          </cell>
          <cell r="F17" t="str">
            <v>H</v>
          </cell>
          <cell r="G17" t="str">
            <v>Plain Table</v>
          </cell>
          <cell r="H17">
            <v>0.4</v>
          </cell>
          <cell r="I17">
            <v>150</v>
          </cell>
        </row>
        <row r="18">
          <cell r="A18">
            <v>14</v>
          </cell>
          <cell r="B18" t="str">
            <v>Mens</v>
          </cell>
          <cell r="C18">
            <v>1</v>
          </cell>
          <cell r="D18" t="str">
            <v>Collar</v>
          </cell>
          <cell r="E18" t="str">
            <v>Mark collar band for make</v>
          </cell>
          <cell r="F18" t="str">
            <v>H</v>
          </cell>
          <cell r="G18" t="str">
            <v>Plain Table</v>
          </cell>
          <cell r="H18">
            <v>0.43</v>
          </cell>
          <cell r="I18">
            <v>139.53488372093022</v>
          </cell>
        </row>
        <row r="19">
          <cell r="A19">
            <v>15</v>
          </cell>
          <cell r="B19" t="str">
            <v>Mens</v>
          </cell>
          <cell r="C19">
            <v>1</v>
          </cell>
          <cell r="D19" t="str">
            <v>Collar</v>
          </cell>
          <cell r="E19" t="str">
            <v>Make collar band</v>
          </cell>
          <cell r="F19" t="str">
            <v>M</v>
          </cell>
          <cell r="G19" t="str">
            <v>1N2TLS-UBT</v>
          </cell>
          <cell r="H19">
            <v>0.42</v>
          </cell>
          <cell r="I19">
            <v>142.85714285714286</v>
          </cell>
          <cell r="J19" t="str">
            <v>1/8"EC</v>
          </cell>
          <cell r="K19" t="str">
            <v>1/8"EC</v>
          </cell>
        </row>
        <row r="20">
          <cell r="A20">
            <v>16</v>
          </cell>
          <cell r="B20" t="str">
            <v>Mens</v>
          </cell>
          <cell r="C20">
            <v>1</v>
          </cell>
          <cell r="D20" t="str">
            <v>Collar</v>
          </cell>
          <cell r="E20" t="str">
            <v>Make collar manual</v>
          </cell>
          <cell r="F20" t="str">
            <v>M</v>
          </cell>
          <cell r="G20" t="str">
            <v>1N2TLS-EC</v>
          </cell>
          <cell r="H20">
            <v>0.4</v>
          </cell>
          <cell r="I20">
            <v>150</v>
          </cell>
          <cell r="J20" t="str">
            <v>1/4" EC</v>
          </cell>
          <cell r="K20" t="str">
            <v>1/4" EC</v>
          </cell>
        </row>
        <row r="21">
          <cell r="A21">
            <v>17</v>
          </cell>
          <cell r="B21" t="str">
            <v>Mens</v>
          </cell>
          <cell r="C21">
            <v>1</v>
          </cell>
          <cell r="D21" t="str">
            <v>Collar</v>
          </cell>
          <cell r="E21" t="str">
            <v>Make collar by 2 thread</v>
          </cell>
          <cell r="F21" t="str">
            <v>M</v>
          </cell>
          <cell r="G21" t="str">
            <v>1N2TLS-EC</v>
          </cell>
          <cell r="H21">
            <v>0.5</v>
          </cell>
          <cell r="I21">
            <v>120</v>
          </cell>
          <cell r="J21" t="str">
            <v>1/8" EC</v>
          </cell>
          <cell r="K21" t="str">
            <v>1/8"EC</v>
          </cell>
        </row>
        <row r="22">
          <cell r="A22">
            <v>18</v>
          </cell>
          <cell r="B22" t="str">
            <v>Mens</v>
          </cell>
          <cell r="C22">
            <v>1</v>
          </cell>
          <cell r="D22" t="str">
            <v>Collar</v>
          </cell>
          <cell r="E22" t="str">
            <v>Make collar by Jig mc -manual Solid</v>
          </cell>
          <cell r="F22" t="str">
            <v>M</v>
          </cell>
          <cell r="G22" t="str">
            <v>1N2TLS-UBT</v>
          </cell>
          <cell r="H22">
            <v>0.2</v>
          </cell>
          <cell r="I22">
            <v>300</v>
          </cell>
          <cell r="K22" t="str">
            <v>Jig</v>
          </cell>
          <cell r="N22" t="str">
            <v>Pattarn</v>
          </cell>
        </row>
        <row r="23">
          <cell r="A23">
            <v>19</v>
          </cell>
          <cell r="B23" t="str">
            <v>Mens</v>
          </cell>
          <cell r="C23">
            <v>1</v>
          </cell>
          <cell r="D23" t="str">
            <v>Collar</v>
          </cell>
          <cell r="E23" t="str">
            <v xml:space="preserve">Trim Excess Collar </v>
          </cell>
          <cell r="F23" t="str">
            <v>H</v>
          </cell>
          <cell r="G23" t="str">
            <v>Plain Table</v>
          </cell>
          <cell r="H23">
            <v>0.2</v>
          </cell>
          <cell r="I23">
            <v>300</v>
          </cell>
        </row>
        <row r="24">
          <cell r="A24">
            <v>20</v>
          </cell>
          <cell r="B24" t="str">
            <v>Mens</v>
          </cell>
          <cell r="C24">
            <v>1</v>
          </cell>
          <cell r="D24" t="str">
            <v>Collar</v>
          </cell>
          <cell r="E24" t="str">
            <v xml:space="preserve"> Trims &amp; Turn &amp; press collar</v>
          </cell>
          <cell r="F24" t="str">
            <v>M</v>
          </cell>
          <cell r="G24" t="str">
            <v>Collar press</v>
          </cell>
          <cell r="H24">
            <v>0.3</v>
          </cell>
          <cell r="I24">
            <v>200</v>
          </cell>
          <cell r="K24" t="str">
            <v>Turner</v>
          </cell>
          <cell r="L24" t="str">
            <v>check</v>
          </cell>
        </row>
        <row r="25">
          <cell r="A25">
            <v>21</v>
          </cell>
          <cell r="B25" t="str">
            <v>Mens</v>
          </cell>
          <cell r="C25">
            <v>1</v>
          </cell>
          <cell r="D25" t="str">
            <v>Collar</v>
          </cell>
          <cell r="E25" t="str">
            <v>Press Collar</v>
          </cell>
          <cell r="F25" t="str">
            <v>M</v>
          </cell>
          <cell r="G25" t="str">
            <v>Collar Press</v>
          </cell>
          <cell r="H25">
            <v>0.2</v>
          </cell>
          <cell r="I25">
            <v>300</v>
          </cell>
        </row>
        <row r="26">
          <cell r="A26">
            <v>22</v>
          </cell>
          <cell r="B26" t="str">
            <v>Mens</v>
          </cell>
          <cell r="C26">
            <v>1</v>
          </cell>
          <cell r="D26" t="str">
            <v>Collar</v>
          </cell>
          <cell r="E26" t="str">
            <v xml:space="preserve"> Press Collar  By iron</v>
          </cell>
          <cell r="F26" t="str">
            <v>I</v>
          </cell>
          <cell r="G26" t="str">
            <v>Iron Table</v>
          </cell>
          <cell r="H26">
            <v>0.2</v>
          </cell>
          <cell r="I26">
            <v>300</v>
          </cell>
        </row>
        <row r="27">
          <cell r="A27">
            <v>23</v>
          </cell>
          <cell r="B27" t="str">
            <v>Mens</v>
          </cell>
          <cell r="C27">
            <v>1</v>
          </cell>
          <cell r="D27" t="str">
            <v>Collar</v>
          </cell>
          <cell r="E27" t="str">
            <v xml:space="preserve">T/S Collar 1/16" </v>
          </cell>
          <cell r="F27" t="str">
            <v>M</v>
          </cell>
          <cell r="G27" t="str">
            <v>1N2TLS-UBT</v>
          </cell>
          <cell r="H27">
            <v>0.4</v>
          </cell>
          <cell r="I27">
            <v>150</v>
          </cell>
          <cell r="J27" t="str">
            <v>1/6"CR</v>
          </cell>
          <cell r="K27" t="str">
            <v>Plain</v>
          </cell>
          <cell r="L27" t="str">
            <v>check</v>
          </cell>
        </row>
        <row r="28">
          <cell r="A28">
            <v>24</v>
          </cell>
          <cell r="B28" t="str">
            <v>Mens</v>
          </cell>
          <cell r="C28">
            <v>1</v>
          </cell>
          <cell r="D28" t="str">
            <v>Collar</v>
          </cell>
          <cell r="E28" t="str">
            <v>T/S Collar 1/4"  with bon</v>
          </cell>
          <cell r="F28" t="str">
            <v>M</v>
          </cell>
          <cell r="G28" t="str">
            <v>1N2TLS-UBT</v>
          </cell>
          <cell r="H28">
            <v>0.4</v>
          </cell>
          <cell r="I28">
            <v>150</v>
          </cell>
          <cell r="J28" t="str">
            <v>1/4"CR</v>
          </cell>
          <cell r="K28" t="str">
            <v>Plain</v>
          </cell>
        </row>
        <row r="29">
          <cell r="A29">
            <v>25</v>
          </cell>
          <cell r="B29" t="str">
            <v>Mens</v>
          </cell>
          <cell r="C29">
            <v>1</v>
          </cell>
          <cell r="D29" t="str">
            <v>Collar</v>
          </cell>
          <cell r="E29" t="str">
            <v xml:space="preserve">T/S Collar 1/8" </v>
          </cell>
          <cell r="F29" t="str">
            <v>M</v>
          </cell>
          <cell r="G29" t="str">
            <v>1N2TLS-UBT</v>
          </cell>
          <cell r="H29">
            <v>0.4</v>
          </cell>
          <cell r="I29">
            <v>150</v>
          </cell>
          <cell r="J29" t="str">
            <v>1/8" CR</v>
          </cell>
          <cell r="K29" t="str">
            <v>Plain</v>
          </cell>
        </row>
        <row r="30">
          <cell r="A30">
            <v>26</v>
          </cell>
          <cell r="B30" t="str">
            <v>Mens</v>
          </cell>
          <cell r="C30">
            <v>1</v>
          </cell>
          <cell r="D30" t="str">
            <v>Collar</v>
          </cell>
          <cell r="E30" t="str">
            <v xml:space="preserve">T/S Collar 1/4 " </v>
          </cell>
          <cell r="F30" t="str">
            <v>M</v>
          </cell>
          <cell r="G30" t="str">
            <v>1N2TLS-UBT</v>
          </cell>
          <cell r="H30">
            <v>0.32</v>
          </cell>
          <cell r="I30">
            <v>187.5</v>
          </cell>
          <cell r="J30" t="str">
            <v>5mm"CR</v>
          </cell>
          <cell r="K30" t="str">
            <v>Plain</v>
          </cell>
        </row>
        <row r="31">
          <cell r="A31">
            <v>27</v>
          </cell>
          <cell r="B31" t="str">
            <v>Mens</v>
          </cell>
          <cell r="C31">
            <v>1</v>
          </cell>
          <cell r="D31" t="str">
            <v>Collar</v>
          </cell>
          <cell r="E31" t="str">
            <v>Make neck tape by folder</v>
          </cell>
          <cell r="F31" t="str">
            <v>M</v>
          </cell>
          <cell r="G31" t="str">
            <v>1N2TLS-UBT</v>
          </cell>
          <cell r="H31">
            <v>0.2</v>
          </cell>
          <cell r="I31">
            <v>300</v>
          </cell>
          <cell r="J31" t="str">
            <v>1/6"CR</v>
          </cell>
          <cell r="K31" t="str">
            <v>Plain</v>
          </cell>
        </row>
        <row r="32">
          <cell r="A32">
            <v>28</v>
          </cell>
          <cell r="B32" t="str">
            <v>Mens</v>
          </cell>
          <cell r="C32">
            <v>1</v>
          </cell>
          <cell r="D32" t="str">
            <v>Collar</v>
          </cell>
          <cell r="E32" t="str">
            <v>Attach twil tape at collar by folder</v>
          </cell>
          <cell r="F32" t="str">
            <v>M</v>
          </cell>
          <cell r="G32" t="str">
            <v>1N2TLS-UBT</v>
          </cell>
          <cell r="H32">
            <v>0.45</v>
          </cell>
          <cell r="I32">
            <v>133.33333333333334</v>
          </cell>
          <cell r="K32" t="str">
            <v>Plain</v>
          </cell>
        </row>
        <row r="33">
          <cell r="A33">
            <v>29</v>
          </cell>
          <cell r="B33" t="str">
            <v>Mens</v>
          </cell>
          <cell r="C33">
            <v>1</v>
          </cell>
          <cell r="D33" t="str">
            <v>Collar</v>
          </cell>
          <cell r="E33" t="str">
            <v xml:space="preserve">Make collar with tape </v>
          </cell>
          <cell r="F33" t="str">
            <v>M</v>
          </cell>
          <cell r="G33" t="str">
            <v>1N2TLS-EC</v>
          </cell>
          <cell r="H33">
            <v>0.8</v>
          </cell>
          <cell r="I33">
            <v>75</v>
          </cell>
          <cell r="K33" t="str">
            <v>Plain</v>
          </cell>
        </row>
        <row r="34">
          <cell r="A34">
            <v>30</v>
          </cell>
          <cell r="B34" t="str">
            <v>Mens</v>
          </cell>
          <cell r="C34">
            <v>1</v>
          </cell>
          <cell r="D34" t="str">
            <v>Collar</v>
          </cell>
          <cell r="E34" t="str">
            <v>Sharing collar tape</v>
          </cell>
          <cell r="F34" t="str">
            <v>M</v>
          </cell>
          <cell r="G34" t="str">
            <v>1N2TLS-UBT</v>
          </cell>
          <cell r="H34">
            <v>0.7</v>
          </cell>
          <cell r="I34">
            <v>85.714285714285722</v>
          </cell>
          <cell r="K34" t="str">
            <v>Plain</v>
          </cell>
        </row>
        <row r="35">
          <cell r="A35">
            <v>31</v>
          </cell>
          <cell r="B35" t="str">
            <v>Mens</v>
          </cell>
          <cell r="C35">
            <v>1</v>
          </cell>
          <cell r="D35" t="str">
            <v>Collar</v>
          </cell>
          <cell r="E35" t="str">
            <v>Collar Band Hem  H/Lilling</v>
          </cell>
          <cell r="F35" t="str">
            <v>M</v>
          </cell>
          <cell r="G35" t="str">
            <v>1N2TLS-UBT</v>
          </cell>
          <cell r="H35">
            <v>0.2</v>
          </cell>
          <cell r="I35">
            <v>300</v>
          </cell>
          <cell r="J35" t="str">
            <v>1/2inch CR</v>
          </cell>
          <cell r="K35" t="str">
            <v>Plain</v>
          </cell>
          <cell r="L35" t="str">
            <v>check</v>
          </cell>
        </row>
        <row r="36">
          <cell r="A36">
            <v>32</v>
          </cell>
          <cell r="B36" t="str">
            <v>Mens</v>
          </cell>
          <cell r="C36">
            <v>1</v>
          </cell>
          <cell r="D36" t="str">
            <v>Collar</v>
          </cell>
          <cell r="E36" t="str">
            <v>Collar Band Lining Join</v>
          </cell>
          <cell r="F36" t="str">
            <v>M</v>
          </cell>
          <cell r="G36" t="str">
            <v>1N2TLS-UBT</v>
          </cell>
          <cell r="H36">
            <v>0.28000000000000003</v>
          </cell>
          <cell r="I36">
            <v>214.28571428571428</v>
          </cell>
          <cell r="K36" t="str">
            <v>Plain</v>
          </cell>
        </row>
        <row r="37">
          <cell r="A37">
            <v>33</v>
          </cell>
          <cell r="B37" t="str">
            <v>Mens</v>
          </cell>
          <cell r="C37">
            <v>1</v>
          </cell>
          <cell r="D37" t="str">
            <v>Collar</v>
          </cell>
          <cell r="E37" t="str">
            <v xml:space="preserve">Collar Band Hem </v>
          </cell>
          <cell r="F37" t="str">
            <v>M</v>
          </cell>
          <cell r="G37" t="str">
            <v>1N2TLS-UBT</v>
          </cell>
          <cell r="H37">
            <v>0.26</v>
          </cell>
          <cell r="I37">
            <v>230.76923076923077</v>
          </cell>
          <cell r="J37" t="str">
            <v>5/16"CR</v>
          </cell>
          <cell r="K37" t="str">
            <v>Plain</v>
          </cell>
        </row>
        <row r="38">
          <cell r="A38">
            <v>34</v>
          </cell>
          <cell r="B38" t="str">
            <v>Mens</v>
          </cell>
          <cell r="C38">
            <v>1</v>
          </cell>
          <cell r="D38" t="str">
            <v>Collar</v>
          </cell>
          <cell r="E38" t="str">
            <v>Collar Band Hem</v>
          </cell>
          <cell r="F38" t="str">
            <v>I</v>
          </cell>
          <cell r="G38" t="str">
            <v>Iron Table</v>
          </cell>
          <cell r="H38">
            <v>0.5</v>
          </cell>
          <cell r="I38">
            <v>120</v>
          </cell>
        </row>
        <row r="39">
          <cell r="A39">
            <v>35</v>
          </cell>
          <cell r="B39" t="str">
            <v>Mens</v>
          </cell>
          <cell r="C39">
            <v>1</v>
          </cell>
          <cell r="D39" t="str">
            <v>Collar</v>
          </cell>
          <cell r="E39" t="str">
            <v>Press collar band</v>
          </cell>
          <cell r="F39" t="str">
            <v>I</v>
          </cell>
          <cell r="G39" t="str">
            <v>Iron Table</v>
          </cell>
          <cell r="H39">
            <v>0.35</v>
          </cell>
          <cell r="I39">
            <v>171.42857142857144</v>
          </cell>
        </row>
        <row r="40">
          <cell r="A40">
            <v>36</v>
          </cell>
          <cell r="B40" t="str">
            <v>Mens</v>
          </cell>
          <cell r="C40">
            <v>1</v>
          </cell>
          <cell r="D40" t="str">
            <v>Collar</v>
          </cell>
          <cell r="E40" t="str">
            <v>Set band to collar</v>
          </cell>
          <cell r="F40" t="str">
            <v>M</v>
          </cell>
          <cell r="G40" t="str">
            <v>1N2TLS-EC</v>
          </cell>
          <cell r="H40">
            <v>0.6</v>
          </cell>
          <cell r="I40">
            <v>100</v>
          </cell>
          <cell r="J40" t="str">
            <v>1/8" EC</v>
          </cell>
          <cell r="K40" t="str">
            <v>1/8"EC</v>
          </cell>
          <cell r="L40" t="str">
            <v>check</v>
          </cell>
        </row>
        <row r="41">
          <cell r="A41">
            <v>37</v>
          </cell>
          <cell r="B41" t="str">
            <v>Mens</v>
          </cell>
          <cell r="C41">
            <v>1</v>
          </cell>
          <cell r="D41" t="str">
            <v>Collar</v>
          </cell>
          <cell r="E41" t="str">
            <v>Set band to collar ( Band Piping )</v>
          </cell>
          <cell r="F41" t="str">
            <v>M</v>
          </cell>
          <cell r="G41" t="str">
            <v>1N2TLS-EC</v>
          </cell>
          <cell r="H41">
            <v>0.68</v>
          </cell>
          <cell r="I41">
            <v>88.235294117647058</v>
          </cell>
          <cell r="J41" t="str">
            <v>1/8" EC</v>
          </cell>
          <cell r="K41" t="str">
            <v>1/8"EC</v>
          </cell>
        </row>
        <row r="42">
          <cell r="A42">
            <v>38</v>
          </cell>
          <cell r="B42" t="str">
            <v>Mens</v>
          </cell>
          <cell r="C42">
            <v>1</v>
          </cell>
          <cell r="D42" t="str">
            <v>Collar</v>
          </cell>
          <cell r="E42" t="str">
            <v xml:space="preserve">Trim &amp; Turn Collar Norse </v>
          </cell>
          <cell r="F42" t="str">
            <v>H</v>
          </cell>
          <cell r="G42" t="str">
            <v>Plain Table</v>
          </cell>
          <cell r="H42">
            <v>0.25</v>
          </cell>
          <cell r="I42">
            <v>240</v>
          </cell>
        </row>
        <row r="43">
          <cell r="A43">
            <v>39</v>
          </cell>
          <cell r="B43" t="str">
            <v>Mens</v>
          </cell>
          <cell r="C43">
            <v>1</v>
          </cell>
          <cell r="D43" t="str">
            <v>Collar</v>
          </cell>
          <cell r="E43" t="str">
            <v xml:space="preserve">Mid line top st at band </v>
          </cell>
          <cell r="F43" t="str">
            <v>M</v>
          </cell>
          <cell r="G43" t="str">
            <v>1N2TLS-UBT</v>
          </cell>
          <cell r="H43">
            <v>0.32</v>
          </cell>
          <cell r="I43">
            <v>187.5</v>
          </cell>
          <cell r="J43" t="str">
            <v>1/6"CR</v>
          </cell>
          <cell r="K43" t="str">
            <v>Plain</v>
          </cell>
          <cell r="L43" t="str">
            <v>check</v>
          </cell>
        </row>
        <row r="44">
          <cell r="A44">
            <v>40</v>
          </cell>
          <cell r="B44" t="str">
            <v>Mens</v>
          </cell>
          <cell r="C44">
            <v>1</v>
          </cell>
          <cell r="D44" t="str">
            <v>Collar</v>
          </cell>
          <cell r="E44" t="str">
            <v>Mid line top st at band with deco</v>
          </cell>
          <cell r="F44" t="str">
            <v>M</v>
          </cell>
          <cell r="G44" t="str">
            <v>1N2TLS-UBT</v>
          </cell>
          <cell r="H44">
            <v>0.4</v>
          </cell>
          <cell r="I44">
            <v>150</v>
          </cell>
          <cell r="J44" t="str">
            <v>1/6"CR</v>
          </cell>
          <cell r="K44" t="str">
            <v>Plain</v>
          </cell>
        </row>
        <row r="45">
          <cell r="A45">
            <v>41</v>
          </cell>
          <cell r="B45" t="str">
            <v>Mens</v>
          </cell>
          <cell r="C45">
            <v>1</v>
          </cell>
          <cell r="D45" t="str">
            <v>Collar</v>
          </cell>
          <cell r="E45" t="str">
            <v xml:space="preserve">T/S Collar band 1/16" </v>
          </cell>
          <cell r="F45" t="str">
            <v>M</v>
          </cell>
          <cell r="G45" t="str">
            <v>1N2TLS-UBT</v>
          </cell>
          <cell r="H45">
            <v>0.4</v>
          </cell>
          <cell r="I45">
            <v>150</v>
          </cell>
          <cell r="J45" t="str">
            <v>1/6"CR</v>
          </cell>
          <cell r="K45" t="str">
            <v>Plain</v>
          </cell>
        </row>
        <row r="46">
          <cell r="A46">
            <v>42</v>
          </cell>
          <cell r="B46" t="str">
            <v>Mens</v>
          </cell>
          <cell r="C46">
            <v>1</v>
          </cell>
          <cell r="D46" t="str">
            <v>Collar</v>
          </cell>
          <cell r="E46" t="str">
            <v>Decoration stitch at collar mid band</v>
          </cell>
          <cell r="F46" t="str">
            <v>M</v>
          </cell>
          <cell r="G46" t="str">
            <v>1N2TLS-UBT</v>
          </cell>
          <cell r="H46">
            <v>0.3</v>
          </cell>
          <cell r="I46">
            <v>200</v>
          </cell>
          <cell r="J46" t="str">
            <v>1/6"CR</v>
          </cell>
          <cell r="K46" t="str">
            <v>Plain</v>
          </cell>
        </row>
        <row r="47">
          <cell r="A47">
            <v>43</v>
          </cell>
          <cell r="B47" t="str">
            <v>Mens</v>
          </cell>
          <cell r="C47">
            <v>1</v>
          </cell>
          <cell r="D47" t="str">
            <v>Collar</v>
          </cell>
          <cell r="E47" t="str">
            <v>Cut excess at btm Collar Band</v>
          </cell>
          <cell r="F47" t="str">
            <v>M</v>
          </cell>
          <cell r="G47" t="str">
            <v>1N2TLS-EC</v>
          </cell>
          <cell r="H47">
            <v>0.25</v>
          </cell>
          <cell r="I47">
            <v>240</v>
          </cell>
          <cell r="L47" t="str">
            <v>check</v>
          </cell>
        </row>
        <row r="48">
          <cell r="A48">
            <v>44</v>
          </cell>
          <cell r="B48" t="str">
            <v>Mens</v>
          </cell>
          <cell r="C48">
            <v>1</v>
          </cell>
          <cell r="D48" t="str">
            <v>Collar</v>
          </cell>
          <cell r="E48" t="str">
            <v xml:space="preserve">Btn Hole @ Collar Point </v>
          </cell>
          <cell r="F48" t="str">
            <v>M</v>
          </cell>
          <cell r="G48" t="str">
            <v>1N2T-BH</v>
          </cell>
          <cell r="H48">
            <v>0.25</v>
          </cell>
          <cell r="I48">
            <v>240</v>
          </cell>
          <cell r="J48" t="str">
            <v>BH</v>
          </cell>
        </row>
        <row r="49">
          <cell r="A49">
            <v>45</v>
          </cell>
          <cell r="B49" t="str">
            <v>Mens</v>
          </cell>
          <cell r="C49">
            <v>1</v>
          </cell>
          <cell r="D49" t="str">
            <v>Collar</v>
          </cell>
          <cell r="E49" t="str">
            <v xml:space="preserve">Mark at collar band </v>
          </cell>
          <cell r="F49" t="str">
            <v>H</v>
          </cell>
          <cell r="H49">
            <v>0.25</v>
          </cell>
          <cell r="I49">
            <v>240</v>
          </cell>
          <cell r="J49" t="str">
            <v>Pattarn</v>
          </cell>
          <cell r="L49" t="str">
            <v>check</v>
          </cell>
        </row>
        <row r="50">
          <cell r="A50">
            <v>46</v>
          </cell>
          <cell r="B50" t="str">
            <v>Mens</v>
          </cell>
          <cell r="C50">
            <v>1</v>
          </cell>
          <cell r="D50" t="str">
            <v>Collar</v>
          </cell>
          <cell r="E50" t="str">
            <v>Mark at clr band</v>
          </cell>
          <cell r="F50" t="str">
            <v>H</v>
          </cell>
          <cell r="G50" t="str">
            <v>Plain Table</v>
          </cell>
          <cell r="H50">
            <v>0.4</v>
          </cell>
          <cell r="I50">
            <v>150</v>
          </cell>
        </row>
        <row r="51">
          <cell r="A51">
            <v>47</v>
          </cell>
          <cell r="B51" t="str">
            <v>Mens</v>
          </cell>
          <cell r="C51">
            <v>1</v>
          </cell>
          <cell r="D51" t="str">
            <v>Collar</v>
          </cell>
          <cell r="E51" t="str">
            <v>Label attach at collar</v>
          </cell>
          <cell r="F51" t="str">
            <v>M</v>
          </cell>
          <cell r="G51" t="str">
            <v>1N2TLS-UBT</v>
          </cell>
          <cell r="H51">
            <v>0.4</v>
          </cell>
          <cell r="I51">
            <v>150</v>
          </cell>
          <cell r="J51" t="str">
            <v>1/6"CR</v>
          </cell>
          <cell r="K51" t="str">
            <v>Plain</v>
          </cell>
        </row>
        <row r="52">
          <cell r="A52">
            <v>48</v>
          </cell>
          <cell r="B52" t="str">
            <v>Mens</v>
          </cell>
          <cell r="C52">
            <v>1</v>
          </cell>
          <cell r="D52" t="str">
            <v>Collar</v>
          </cell>
          <cell r="E52" t="str">
            <v>Mark collar  for attach</v>
          </cell>
          <cell r="F52" t="str">
            <v>H</v>
          </cell>
          <cell r="G52" t="str">
            <v>Collar Notcher</v>
          </cell>
          <cell r="H52">
            <v>0.25</v>
          </cell>
          <cell r="I52">
            <v>240</v>
          </cell>
        </row>
        <row r="53">
          <cell r="A53">
            <v>49</v>
          </cell>
          <cell r="B53" t="str">
            <v>Mens</v>
          </cell>
          <cell r="C53">
            <v>1</v>
          </cell>
          <cell r="D53" t="str">
            <v>Collar</v>
          </cell>
          <cell r="E53" t="str">
            <v xml:space="preserve">Attach tape at collar </v>
          </cell>
          <cell r="F53" t="str">
            <v>M</v>
          </cell>
          <cell r="G53" t="str">
            <v>1N2TLS-UBT</v>
          </cell>
          <cell r="H53">
            <v>0.4</v>
          </cell>
          <cell r="I53">
            <v>150</v>
          </cell>
          <cell r="J53" t="str">
            <v>Plain</v>
          </cell>
          <cell r="K53" t="str">
            <v>Plain</v>
          </cell>
        </row>
        <row r="54">
          <cell r="A54">
            <v>50</v>
          </cell>
          <cell r="B54" t="str">
            <v>Mens</v>
          </cell>
          <cell r="C54">
            <v>1</v>
          </cell>
          <cell r="D54" t="str">
            <v>Collar</v>
          </cell>
          <cell r="E54" t="str">
            <v xml:space="preserve">press collar after band join </v>
          </cell>
          <cell r="F54" t="str">
            <v>I</v>
          </cell>
          <cell r="G54" t="str">
            <v>Iron Table</v>
          </cell>
          <cell r="H54">
            <v>0.3</v>
          </cell>
          <cell r="I54">
            <v>200</v>
          </cell>
        </row>
        <row r="55">
          <cell r="A55">
            <v>51</v>
          </cell>
          <cell r="B55" t="str">
            <v>Mens</v>
          </cell>
          <cell r="C55">
            <v>1</v>
          </cell>
          <cell r="D55" t="str">
            <v>Collar</v>
          </cell>
          <cell r="E55" t="str">
            <v>Mark &amp; cut collar band</v>
          </cell>
          <cell r="F55" t="str">
            <v>H</v>
          </cell>
          <cell r="G55" t="str">
            <v>Plain Table</v>
          </cell>
          <cell r="H55">
            <v>0.3</v>
          </cell>
          <cell r="I55">
            <v>200</v>
          </cell>
        </row>
        <row r="56">
          <cell r="A56">
            <v>52</v>
          </cell>
          <cell r="B56" t="str">
            <v>Mens</v>
          </cell>
          <cell r="C56">
            <v>1</v>
          </cell>
          <cell r="D56" t="str">
            <v>Collar</v>
          </cell>
          <cell r="E56" t="str">
            <v>Press  collar band hem</v>
          </cell>
          <cell r="F56" t="str">
            <v>I</v>
          </cell>
          <cell r="G56" t="str">
            <v>Iron Table</v>
          </cell>
          <cell r="H56">
            <v>0.3</v>
          </cell>
          <cell r="I56">
            <v>200</v>
          </cell>
        </row>
        <row r="57">
          <cell r="A57">
            <v>53</v>
          </cell>
          <cell r="B57" t="str">
            <v>Mens</v>
          </cell>
          <cell r="C57">
            <v>1</v>
          </cell>
          <cell r="D57" t="str">
            <v>Collar</v>
          </cell>
          <cell r="E57" t="str">
            <v>Press  collar band bottom</v>
          </cell>
          <cell r="F57" t="str">
            <v>I</v>
          </cell>
          <cell r="G57" t="str">
            <v>Iron Table</v>
          </cell>
          <cell r="H57">
            <v>0.25</v>
          </cell>
          <cell r="I57">
            <v>240</v>
          </cell>
        </row>
        <row r="58">
          <cell r="A58">
            <v>54</v>
          </cell>
          <cell r="B58" t="str">
            <v>Mens</v>
          </cell>
          <cell r="C58">
            <v>1</v>
          </cell>
          <cell r="D58" t="str">
            <v>Collar</v>
          </cell>
          <cell r="E58" t="str">
            <v>Close neck tack opeing</v>
          </cell>
          <cell r="F58" t="str">
            <v>M</v>
          </cell>
          <cell r="G58" t="str">
            <v>1N2TLS-UBT</v>
          </cell>
          <cell r="H58">
            <v>0.9</v>
          </cell>
          <cell r="I58">
            <v>66.666666666666671</v>
          </cell>
          <cell r="J58" t="str">
            <v>1/6"CR</v>
          </cell>
          <cell r="K58" t="str">
            <v>Plain</v>
          </cell>
        </row>
        <row r="59">
          <cell r="A59">
            <v>55</v>
          </cell>
          <cell r="B59" t="str">
            <v>Mens</v>
          </cell>
          <cell r="C59">
            <v>1</v>
          </cell>
          <cell r="D59" t="str">
            <v>Collar</v>
          </cell>
          <cell r="E59" t="str">
            <v xml:space="preserve">Match collar band </v>
          </cell>
          <cell r="F59" t="str">
            <v>H</v>
          </cell>
          <cell r="G59" t="str">
            <v>Plain Table</v>
          </cell>
          <cell r="H59">
            <v>0.15</v>
          </cell>
          <cell r="I59">
            <v>400</v>
          </cell>
        </row>
        <row r="60">
          <cell r="A60">
            <v>56</v>
          </cell>
          <cell r="B60" t="str">
            <v>Mens</v>
          </cell>
          <cell r="C60">
            <v>1</v>
          </cell>
          <cell r="D60" t="str">
            <v>Collar</v>
          </cell>
          <cell r="E60" t="str">
            <v>Collar  pannel make x4</v>
          </cell>
          <cell r="F60" t="str">
            <v>M</v>
          </cell>
          <cell r="G60" t="str">
            <v>1N2TLS-UBT</v>
          </cell>
          <cell r="H60">
            <v>0.4</v>
          </cell>
          <cell r="I60">
            <v>150</v>
          </cell>
        </row>
        <row r="61">
          <cell r="A61">
            <v>57</v>
          </cell>
          <cell r="B61" t="str">
            <v>Mens</v>
          </cell>
          <cell r="C61">
            <v>1</v>
          </cell>
          <cell r="D61" t="str">
            <v>Collar</v>
          </cell>
          <cell r="E61" t="str">
            <v>Make collar manual by pattern (check)</v>
          </cell>
          <cell r="F61" t="str">
            <v>M</v>
          </cell>
          <cell r="G61" t="str">
            <v>1N2TLS-EC</v>
          </cell>
          <cell r="H61">
            <v>0.45</v>
          </cell>
          <cell r="I61">
            <v>133.33333333333334</v>
          </cell>
          <cell r="L61" t="str">
            <v>check</v>
          </cell>
        </row>
        <row r="62">
          <cell r="A62">
            <v>58</v>
          </cell>
          <cell r="B62" t="str">
            <v>Mens</v>
          </cell>
          <cell r="C62">
            <v>1</v>
          </cell>
          <cell r="D62" t="str">
            <v>Collar</v>
          </cell>
          <cell r="E62" t="str">
            <v>Mark colar for topstitch</v>
          </cell>
          <cell r="F62" t="str">
            <v>H</v>
          </cell>
          <cell r="G62" t="str">
            <v>Plain Table</v>
          </cell>
          <cell r="H62">
            <v>0.2</v>
          </cell>
          <cell r="I62">
            <v>300</v>
          </cell>
        </row>
        <row r="63">
          <cell r="A63">
            <v>59</v>
          </cell>
          <cell r="B63" t="str">
            <v>Mens</v>
          </cell>
          <cell r="C63">
            <v>1</v>
          </cell>
          <cell r="D63" t="str">
            <v>Collar</v>
          </cell>
          <cell r="E63" t="str">
            <v>Collar Band Hem  soft lilling</v>
          </cell>
          <cell r="F63" t="str">
            <v>M</v>
          </cell>
          <cell r="G63" t="str">
            <v>1N2TLS-UBT</v>
          </cell>
          <cell r="H63">
            <v>0.25</v>
          </cell>
          <cell r="I63">
            <v>240</v>
          </cell>
        </row>
        <row r="64">
          <cell r="A64">
            <v>60</v>
          </cell>
          <cell r="B64" t="str">
            <v>Mens</v>
          </cell>
          <cell r="C64">
            <v>1</v>
          </cell>
          <cell r="D64" t="str">
            <v>Collar</v>
          </cell>
          <cell r="E64" t="str">
            <v>Make collar Check</v>
          </cell>
          <cell r="F64" t="str">
            <v>M</v>
          </cell>
          <cell r="G64" t="str">
            <v>1N2TLS-EC</v>
          </cell>
          <cell r="H64">
            <v>0.36</v>
          </cell>
          <cell r="I64">
            <v>166.66666666666669</v>
          </cell>
        </row>
        <row r="65">
          <cell r="A65">
            <v>61</v>
          </cell>
          <cell r="B65" t="str">
            <v>Mens</v>
          </cell>
          <cell r="C65">
            <v>1</v>
          </cell>
          <cell r="D65" t="str">
            <v>Collar</v>
          </cell>
          <cell r="E65" t="str">
            <v>Tack at Two Collar</v>
          </cell>
          <cell r="F65" t="str">
            <v>M</v>
          </cell>
          <cell r="G65" t="str">
            <v>1N2TLS-UBT</v>
          </cell>
          <cell r="H65">
            <v>0.25</v>
          </cell>
          <cell r="I65">
            <v>240</v>
          </cell>
        </row>
        <row r="66">
          <cell r="A66">
            <v>62</v>
          </cell>
          <cell r="B66" t="str">
            <v>Mens</v>
          </cell>
          <cell r="C66">
            <v>1</v>
          </cell>
          <cell r="D66" t="str">
            <v>Collar</v>
          </cell>
          <cell r="E66" t="str">
            <v xml:space="preserve">T/S Collar 3/16" </v>
          </cell>
          <cell r="F66" t="str">
            <v>M</v>
          </cell>
          <cell r="G66" t="str">
            <v>1N2TLS-UBT</v>
          </cell>
          <cell r="H66">
            <v>0.35</v>
          </cell>
          <cell r="I66">
            <v>171.42857142857144</v>
          </cell>
        </row>
        <row r="67">
          <cell r="A67">
            <v>63</v>
          </cell>
        </row>
        <row r="68">
          <cell r="A68">
            <v>64</v>
          </cell>
        </row>
        <row r="69">
          <cell r="A69">
            <v>65</v>
          </cell>
        </row>
        <row r="70">
          <cell r="A70">
            <v>66</v>
          </cell>
        </row>
        <row r="71">
          <cell r="A71">
            <v>67</v>
          </cell>
        </row>
        <row r="72">
          <cell r="A72">
            <v>68</v>
          </cell>
        </row>
        <row r="73">
          <cell r="A73">
            <v>69</v>
          </cell>
        </row>
        <row r="74">
          <cell r="A74">
            <v>70</v>
          </cell>
        </row>
        <row r="75">
          <cell r="A75">
            <v>71</v>
          </cell>
        </row>
        <row r="76">
          <cell r="A76">
            <v>72</v>
          </cell>
        </row>
        <row r="77">
          <cell r="A77">
            <v>73</v>
          </cell>
        </row>
        <row r="78">
          <cell r="A78">
            <v>74</v>
          </cell>
        </row>
        <row r="79">
          <cell r="A79">
            <v>75</v>
          </cell>
        </row>
        <row r="80">
          <cell r="A80">
            <v>76</v>
          </cell>
        </row>
        <row r="81">
          <cell r="A81">
            <v>77</v>
          </cell>
        </row>
        <row r="82">
          <cell r="A82">
            <v>78</v>
          </cell>
        </row>
        <row r="83">
          <cell r="A83">
            <v>79</v>
          </cell>
        </row>
        <row r="84">
          <cell r="A84">
            <v>80</v>
          </cell>
        </row>
        <row r="85">
          <cell r="A85">
            <v>81</v>
          </cell>
        </row>
        <row r="86">
          <cell r="A86">
            <v>82</v>
          </cell>
        </row>
        <row r="87">
          <cell r="A87">
            <v>83</v>
          </cell>
        </row>
        <row r="88">
          <cell r="A88">
            <v>84</v>
          </cell>
        </row>
        <row r="89">
          <cell r="A89">
            <v>85</v>
          </cell>
        </row>
        <row r="90">
          <cell r="A90">
            <v>86</v>
          </cell>
        </row>
        <row r="91">
          <cell r="A91">
            <v>87</v>
          </cell>
        </row>
        <row r="92">
          <cell r="A92">
            <v>88</v>
          </cell>
        </row>
        <row r="93">
          <cell r="A93">
            <v>89</v>
          </cell>
        </row>
        <row r="94">
          <cell r="A94">
            <v>90</v>
          </cell>
        </row>
        <row r="95">
          <cell r="A95">
            <v>91</v>
          </cell>
        </row>
        <row r="96">
          <cell r="A96">
            <v>92</v>
          </cell>
        </row>
        <row r="97">
          <cell r="A97">
            <v>93</v>
          </cell>
        </row>
        <row r="98">
          <cell r="A98">
            <v>94</v>
          </cell>
        </row>
        <row r="99">
          <cell r="A99">
            <v>95</v>
          </cell>
        </row>
        <row r="100">
          <cell r="A100">
            <v>96</v>
          </cell>
        </row>
        <row r="101">
          <cell r="A101">
            <v>97</v>
          </cell>
        </row>
        <row r="102">
          <cell r="A102">
            <v>98</v>
          </cell>
        </row>
        <row r="103">
          <cell r="A103">
            <v>99</v>
          </cell>
        </row>
        <row r="104">
          <cell r="A104">
            <v>100</v>
          </cell>
        </row>
        <row r="105">
          <cell r="A105">
            <v>101</v>
          </cell>
        </row>
        <row r="106">
          <cell r="A106">
            <v>102</v>
          </cell>
        </row>
        <row r="107">
          <cell r="A107">
            <v>103</v>
          </cell>
          <cell r="B107" t="str">
            <v>Mens</v>
          </cell>
          <cell r="C107">
            <v>2</v>
          </cell>
          <cell r="D107" t="str">
            <v>Sleeve</v>
          </cell>
          <cell r="E107" t="str">
            <v>Overlock  sleeve round</v>
          </cell>
          <cell r="F107" t="str">
            <v>M</v>
          </cell>
          <cell r="G107" t="str">
            <v>1N3TOL</v>
          </cell>
          <cell r="H107">
            <v>0.5</v>
          </cell>
          <cell r="I107">
            <v>120</v>
          </cell>
        </row>
        <row r="108">
          <cell r="A108">
            <v>104</v>
          </cell>
          <cell r="B108" t="str">
            <v>Mens</v>
          </cell>
          <cell r="C108">
            <v>2</v>
          </cell>
          <cell r="D108" t="str">
            <v>Sleeve</v>
          </cell>
          <cell r="E108" t="str">
            <v xml:space="preserve">Attach sleeve pannel </v>
          </cell>
          <cell r="F108" t="str">
            <v>M</v>
          </cell>
          <cell r="G108" t="str">
            <v>2N4TCS-FOA</v>
          </cell>
          <cell r="H108">
            <v>0.5</v>
          </cell>
          <cell r="I108">
            <v>120</v>
          </cell>
          <cell r="J108" t="str">
            <v>1/4"FOA</v>
          </cell>
          <cell r="K108" t="str">
            <v>1/4"FOA</v>
          </cell>
        </row>
        <row r="109">
          <cell r="A109">
            <v>105</v>
          </cell>
          <cell r="B109" t="str">
            <v>Mens</v>
          </cell>
          <cell r="C109">
            <v>2</v>
          </cell>
          <cell r="D109" t="str">
            <v>Sleeve</v>
          </cell>
          <cell r="E109" t="str">
            <v xml:space="preserve">Attach sleeve pannel </v>
          </cell>
          <cell r="F109" t="str">
            <v>M</v>
          </cell>
          <cell r="G109" t="str">
            <v>2N5TOL</v>
          </cell>
          <cell r="H109">
            <v>0.5</v>
          </cell>
          <cell r="I109">
            <v>120</v>
          </cell>
        </row>
        <row r="110">
          <cell r="A110">
            <v>106</v>
          </cell>
          <cell r="B110" t="str">
            <v>Mens</v>
          </cell>
          <cell r="C110">
            <v>2</v>
          </cell>
          <cell r="D110" t="str">
            <v>Sleeve</v>
          </cell>
          <cell r="E110" t="str">
            <v xml:space="preserve">Attach sleeve pannel </v>
          </cell>
          <cell r="F110" t="str">
            <v>M</v>
          </cell>
          <cell r="G110" t="str">
            <v>1N2TLS-UBT</v>
          </cell>
          <cell r="H110">
            <v>1</v>
          </cell>
          <cell r="I110">
            <v>60</v>
          </cell>
          <cell r="J110" t="str">
            <v>Plain</v>
          </cell>
          <cell r="K110" t="str">
            <v>Plain</v>
          </cell>
        </row>
        <row r="111">
          <cell r="A111">
            <v>107</v>
          </cell>
          <cell r="B111" t="str">
            <v>Mens</v>
          </cell>
          <cell r="C111">
            <v>2</v>
          </cell>
          <cell r="D111" t="str">
            <v>Sleeve</v>
          </cell>
          <cell r="E111" t="str">
            <v>Topstitch sleeve pannel</v>
          </cell>
          <cell r="F111" t="str">
            <v>M</v>
          </cell>
          <cell r="G111" t="str">
            <v>1N2TLS-UBT</v>
          </cell>
          <cell r="H111">
            <v>0.75</v>
          </cell>
          <cell r="I111">
            <v>80</v>
          </cell>
          <cell r="J111" t="str">
            <v>1/6"CR</v>
          </cell>
          <cell r="K111" t="str">
            <v>Plain</v>
          </cell>
        </row>
        <row r="112">
          <cell r="A112">
            <v>108</v>
          </cell>
          <cell r="B112" t="str">
            <v>Mens</v>
          </cell>
          <cell r="C112">
            <v>2</v>
          </cell>
          <cell r="D112" t="str">
            <v>Sleeve</v>
          </cell>
          <cell r="E112" t="str">
            <v>Topstitch sleeve pannel</v>
          </cell>
          <cell r="F112" t="str">
            <v>M</v>
          </cell>
          <cell r="G112" t="str">
            <v>2N4TLSUBT</v>
          </cell>
          <cell r="H112">
            <v>0.75</v>
          </cell>
          <cell r="I112">
            <v>80</v>
          </cell>
        </row>
        <row r="113">
          <cell r="A113">
            <v>109</v>
          </cell>
          <cell r="B113" t="str">
            <v>Mens</v>
          </cell>
          <cell r="C113">
            <v>2</v>
          </cell>
          <cell r="D113" t="str">
            <v>Sleeve</v>
          </cell>
          <cell r="E113" t="str">
            <v>Close  sleeve pannel</v>
          </cell>
          <cell r="F113" t="str">
            <v>M</v>
          </cell>
          <cell r="G113" t="str">
            <v>1N2TLS-UBT</v>
          </cell>
          <cell r="H113">
            <v>0.8</v>
          </cell>
          <cell r="I113">
            <v>75</v>
          </cell>
        </row>
        <row r="114">
          <cell r="A114">
            <v>110</v>
          </cell>
          <cell r="B114" t="str">
            <v>Mens</v>
          </cell>
          <cell r="C114">
            <v>2</v>
          </cell>
          <cell r="D114" t="str">
            <v>Sleeve</v>
          </cell>
          <cell r="E114" t="str">
            <v>Tack sleeve pannel</v>
          </cell>
          <cell r="F114" t="str">
            <v>M</v>
          </cell>
          <cell r="G114" t="str">
            <v>1N2TLS-UBT</v>
          </cell>
          <cell r="H114">
            <v>0.8</v>
          </cell>
          <cell r="I114">
            <v>75</v>
          </cell>
        </row>
        <row r="115">
          <cell r="A115">
            <v>111</v>
          </cell>
          <cell r="B115" t="str">
            <v>Mens</v>
          </cell>
          <cell r="C115">
            <v>2</v>
          </cell>
          <cell r="D115" t="str">
            <v>Sleeve</v>
          </cell>
          <cell r="E115" t="str">
            <v>Sleeve rolling by folder (1/8")</v>
          </cell>
          <cell r="F115" t="str">
            <v>M</v>
          </cell>
          <cell r="G115" t="str">
            <v>1N2TLS-UBT</v>
          </cell>
          <cell r="H115">
            <v>0.5</v>
          </cell>
          <cell r="I115">
            <v>120</v>
          </cell>
        </row>
        <row r="116">
          <cell r="A116">
            <v>112</v>
          </cell>
          <cell r="B116" t="str">
            <v>Mens</v>
          </cell>
          <cell r="C116">
            <v>2</v>
          </cell>
          <cell r="D116" t="str">
            <v>Sleeve</v>
          </cell>
          <cell r="E116" t="str">
            <v>Topstitch Sleeve rolling</v>
          </cell>
          <cell r="F116" t="str">
            <v>M</v>
          </cell>
          <cell r="G116" t="str">
            <v>2N4TCS</v>
          </cell>
          <cell r="H116">
            <v>0.3</v>
          </cell>
          <cell r="I116">
            <v>200</v>
          </cell>
        </row>
        <row r="117">
          <cell r="A117">
            <v>113</v>
          </cell>
          <cell r="B117" t="str">
            <v>Mens</v>
          </cell>
          <cell r="C117">
            <v>2</v>
          </cell>
          <cell r="D117" t="str">
            <v>Sleeve</v>
          </cell>
          <cell r="E117" t="str">
            <v>Sleeve rolling by folder</v>
          </cell>
          <cell r="F117" t="str">
            <v>M</v>
          </cell>
          <cell r="G117" t="str">
            <v>1N2TLS-UBT</v>
          </cell>
          <cell r="H117">
            <v>0.5</v>
          </cell>
          <cell r="I117">
            <v>120</v>
          </cell>
        </row>
        <row r="118">
          <cell r="A118">
            <v>114</v>
          </cell>
          <cell r="B118" t="str">
            <v>Mens</v>
          </cell>
          <cell r="C118">
            <v>2</v>
          </cell>
          <cell r="D118" t="str">
            <v>Sleeve</v>
          </cell>
          <cell r="E118" t="str">
            <v>Topstitch Sleeve rolling</v>
          </cell>
          <cell r="F118" t="str">
            <v>M</v>
          </cell>
          <cell r="G118" t="str">
            <v>1N2TLS-UBT</v>
          </cell>
          <cell r="H118">
            <v>0.3</v>
          </cell>
          <cell r="I118">
            <v>200</v>
          </cell>
        </row>
        <row r="119">
          <cell r="A119">
            <v>115</v>
          </cell>
          <cell r="B119" t="str">
            <v>Mens</v>
          </cell>
          <cell r="C119">
            <v>2</v>
          </cell>
          <cell r="D119" t="str">
            <v>Sleeve</v>
          </cell>
          <cell r="E119" t="str">
            <v>Measure, mark  &amp; Trim  sleeve rolling</v>
          </cell>
          <cell r="F119" t="str">
            <v>H</v>
          </cell>
          <cell r="G119" t="str">
            <v>Plain Table</v>
          </cell>
          <cell r="H119">
            <v>0.3</v>
          </cell>
          <cell r="I119">
            <v>200</v>
          </cell>
        </row>
        <row r="120">
          <cell r="A120">
            <v>116</v>
          </cell>
          <cell r="B120" t="str">
            <v>Mens</v>
          </cell>
          <cell r="C120">
            <v>2</v>
          </cell>
          <cell r="D120" t="str">
            <v>Sleeve</v>
          </cell>
          <cell r="E120" t="str">
            <v>Make sleeve dart x6</v>
          </cell>
          <cell r="F120" t="str">
            <v>M</v>
          </cell>
          <cell r="G120" t="str">
            <v>1N2TLS-UBT</v>
          </cell>
          <cell r="H120">
            <v>1</v>
          </cell>
          <cell r="I120">
            <v>60</v>
          </cell>
        </row>
        <row r="121">
          <cell r="A121">
            <v>117</v>
          </cell>
          <cell r="B121" t="str">
            <v>Mens</v>
          </cell>
          <cell r="C121">
            <v>2</v>
          </cell>
          <cell r="D121" t="str">
            <v>Sleeve</v>
          </cell>
          <cell r="E121" t="str">
            <v>Topstitch sleeve dart x6</v>
          </cell>
          <cell r="F121" t="str">
            <v>M</v>
          </cell>
          <cell r="G121" t="str">
            <v>1N2TLS-UBT</v>
          </cell>
          <cell r="H121">
            <v>0.85</v>
          </cell>
          <cell r="I121">
            <v>70.588235294117652</v>
          </cell>
        </row>
        <row r="122">
          <cell r="A122">
            <v>118</v>
          </cell>
          <cell r="B122" t="str">
            <v>Mens</v>
          </cell>
          <cell r="C122">
            <v>2</v>
          </cell>
          <cell r="D122" t="str">
            <v>Sleeve</v>
          </cell>
          <cell r="E122" t="str">
            <v>Close sleeve opening x 2 (folder)</v>
          </cell>
          <cell r="F122" t="str">
            <v>M</v>
          </cell>
          <cell r="G122" t="str">
            <v>1N2TLS-UBT</v>
          </cell>
          <cell r="H122">
            <v>0.6</v>
          </cell>
          <cell r="I122">
            <v>100</v>
          </cell>
        </row>
        <row r="123">
          <cell r="A123">
            <v>119</v>
          </cell>
          <cell r="B123" t="str">
            <v>Mens</v>
          </cell>
          <cell r="C123">
            <v>2</v>
          </cell>
          <cell r="D123" t="str">
            <v>Sleeve</v>
          </cell>
          <cell r="E123" t="str">
            <v>Tack  &amp; close sleeve opening</v>
          </cell>
          <cell r="F123" t="str">
            <v>M</v>
          </cell>
          <cell r="G123" t="str">
            <v>1N2TLS-UBT</v>
          </cell>
          <cell r="H123">
            <v>0.85</v>
          </cell>
          <cell r="I123">
            <v>70.588235294117652</v>
          </cell>
        </row>
        <row r="124">
          <cell r="A124">
            <v>120</v>
          </cell>
          <cell r="B124" t="str">
            <v>Mens</v>
          </cell>
          <cell r="C124">
            <v>2</v>
          </cell>
          <cell r="D124" t="str">
            <v>Sleeve</v>
          </cell>
          <cell r="E124" t="str">
            <v>Trim Sleeve Open</v>
          </cell>
          <cell r="F124" t="str">
            <v>H</v>
          </cell>
          <cell r="G124" t="str">
            <v>Plain Table</v>
          </cell>
          <cell r="H124">
            <v>0.2</v>
          </cell>
          <cell r="I124">
            <v>300</v>
          </cell>
          <cell r="J124" t="str">
            <v>Scessor</v>
          </cell>
          <cell r="K124" t="str">
            <v>pattarn</v>
          </cell>
        </row>
        <row r="125">
          <cell r="A125">
            <v>121</v>
          </cell>
          <cell r="B125" t="str">
            <v>Mens</v>
          </cell>
          <cell r="C125">
            <v>2</v>
          </cell>
          <cell r="D125" t="str">
            <v>Sleeve</v>
          </cell>
          <cell r="E125" t="str">
            <v>Attach Sleeve Gumble with cut opening</v>
          </cell>
          <cell r="F125" t="str">
            <v>M</v>
          </cell>
          <cell r="G125" t="str">
            <v>1N2TLS-UBT</v>
          </cell>
          <cell r="H125">
            <v>0.6</v>
          </cell>
          <cell r="I125">
            <v>100</v>
          </cell>
          <cell r="J125" t="str">
            <v>1/16" CL</v>
          </cell>
        </row>
        <row r="126">
          <cell r="A126">
            <v>122</v>
          </cell>
          <cell r="B126" t="str">
            <v>Mens</v>
          </cell>
          <cell r="C126">
            <v>2</v>
          </cell>
          <cell r="D126" t="str">
            <v>Sleeve</v>
          </cell>
          <cell r="E126" t="str">
            <v>Attach Sleeve Tape Both side</v>
          </cell>
          <cell r="F126" t="str">
            <v>M</v>
          </cell>
          <cell r="G126" t="str">
            <v>1N2TLS-UBT</v>
          </cell>
          <cell r="H126">
            <v>0.6</v>
          </cell>
          <cell r="I126">
            <v>100</v>
          </cell>
          <cell r="J126" t="str">
            <v>1/16"CL</v>
          </cell>
        </row>
        <row r="127">
          <cell r="A127">
            <v>123</v>
          </cell>
          <cell r="B127" t="str">
            <v>Mens</v>
          </cell>
          <cell r="C127">
            <v>2</v>
          </cell>
          <cell r="D127" t="str">
            <v>Sleeve</v>
          </cell>
          <cell r="E127" t="str">
            <v xml:space="preserve">Attach Sleeve Tape </v>
          </cell>
          <cell r="F127" t="str">
            <v>M</v>
          </cell>
          <cell r="G127" t="str">
            <v>1N2TLS-UBT</v>
          </cell>
          <cell r="H127">
            <v>0.45</v>
          </cell>
          <cell r="I127">
            <v>133.33333333333334</v>
          </cell>
          <cell r="J127" t="str">
            <v>1/16" CR</v>
          </cell>
          <cell r="K127" t="str">
            <v>Plain</v>
          </cell>
        </row>
        <row r="128">
          <cell r="A128">
            <v>124</v>
          </cell>
          <cell r="B128" t="str">
            <v>Mens</v>
          </cell>
          <cell r="C128">
            <v>2</v>
          </cell>
          <cell r="D128" t="str">
            <v>Sleeve</v>
          </cell>
          <cell r="E128" t="str">
            <v>Tack Sleeve gumble with cut</v>
          </cell>
          <cell r="F128" t="str">
            <v>M</v>
          </cell>
          <cell r="G128" t="str">
            <v>1N2TLS-UBT</v>
          </cell>
          <cell r="H128">
            <v>0.36</v>
          </cell>
          <cell r="I128">
            <v>166.66666666666669</v>
          </cell>
          <cell r="J128" t="str">
            <v>plain</v>
          </cell>
          <cell r="K128" t="str">
            <v>Plain</v>
          </cell>
        </row>
        <row r="129">
          <cell r="A129">
            <v>125</v>
          </cell>
          <cell r="B129" t="str">
            <v>Mens</v>
          </cell>
          <cell r="C129">
            <v>2</v>
          </cell>
          <cell r="D129" t="str">
            <v>Sleeve</v>
          </cell>
          <cell r="E129" t="str">
            <v>Make sleeve opening tape lower</v>
          </cell>
          <cell r="F129" t="str">
            <v>M</v>
          </cell>
          <cell r="G129" t="str">
            <v>1N2TLS-UBT</v>
          </cell>
          <cell r="H129">
            <v>0.4</v>
          </cell>
          <cell r="I129">
            <v>150</v>
          </cell>
        </row>
        <row r="130">
          <cell r="A130">
            <v>126</v>
          </cell>
          <cell r="B130" t="str">
            <v>Mens</v>
          </cell>
          <cell r="C130">
            <v>2</v>
          </cell>
          <cell r="D130" t="str">
            <v>Sleeve</v>
          </cell>
          <cell r="E130" t="str">
            <v>Mark &amp; trims sleeve tape</v>
          </cell>
          <cell r="F130" t="str">
            <v>H</v>
          </cell>
          <cell r="G130" t="str">
            <v>Plain Table</v>
          </cell>
          <cell r="H130">
            <v>0.65</v>
          </cell>
          <cell r="I130">
            <v>92.307692307692307</v>
          </cell>
        </row>
        <row r="131">
          <cell r="A131">
            <v>127</v>
          </cell>
          <cell r="B131" t="str">
            <v>Mens</v>
          </cell>
          <cell r="C131">
            <v>2</v>
          </cell>
          <cell r="D131" t="str">
            <v>Sleeve</v>
          </cell>
          <cell r="E131" t="str">
            <v>Make &amp; topstitch sleeve opening tape top</v>
          </cell>
          <cell r="F131" t="str">
            <v>M</v>
          </cell>
          <cell r="G131" t="str">
            <v>1N2TLS-UBT</v>
          </cell>
          <cell r="H131">
            <v>0.85</v>
          </cell>
          <cell r="I131">
            <v>70.588235294117652</v>
          </cell>
        </row>
        <row r="132">
          <cell r="A132">
            <v>128</v>
          </cell>
          <cell r="B132" t="str">
            <v>Mens</v>
          </cell>
          <cell r="C132">
            <v>2</v>
          </cell>
          <cell r="D132" t="str">
            <v>Sleeve</v>
          </cell>
          <cell r="E132" t="str">
            <v xml:space="preserve">press sleeve patch X4 </v>
          </cell>
          <cell r="F132" t="str">
            <v>I</v>
          </cell>
          <cell r="G132" t="str">
            <v>Iron table</v>
          </cell>
          <cell r="H132">
            <v>0.4</v>
          </cell>
          <cell r="I132">
            <v>150</v>
          </cell>
        </row>
        <row r="133">
          <cell r="A133">
            <v>129</v>
          </cell>
          <cell r="B133" t="str">
            <v>Mens</v>
          </cell>
          <cell r="C133">
            <v>2</v>
          </cell>
          <cell r="D133" t="str">
            <v>Sleeve</v>
          </cell>
          <cell r="E133" t="str">
            <v>Press Sleeve Placket</v>
          </cell>
          <cell r="F133" t="str">
            <v>H</v>
          </cell>
          <cell r="G133" t="str">
            <v>Fusing-Slv Plkt</v>
          </cell>
          <cell r="H133">
            <v>0.3</v>
          </cell>
          <cell r="I133">
            <v>200</v>
          </cell>
        </row>
        <row r="134">
          <cell r="A134">
            <v>130</v>
          </cell>
          <cell r="B134" t="str">
            <v>Mens</v>
          </cell>
          <cell r="C134">
            <v>2</v>
          </cell>
          <cell r="D134" t="str">
            <v>Sleeve</v>
          </cell>
          <cell r="E134" t="str">
            <v>Press Sleeve Placket( Check)</v>
          </cell>
          <cell r="F134" t="str">
            <v>H</v>
          </cell>
          <cell r="G134" t="str">
            <v>Fusing-Slv Plkt</v>
          </cell>
          <cell r="H134">
            <v>0.4</v>
          </cell>
          <cell r="I134">
            <v>150</v>
          </cell>
          <cell r="J134" t="str">
            <v>Pattarn</v>
          </cell>
        </row>
        <row r="135">
          <cell r="A135">
            <v>131</v>
          </cell>
          <cell r="B135" t="str">
            <v>Mens</v>
          </cell>
          <cell r="C135">
            <v>2</v>
          </cell>
          <cell r="D135" t="str">
            <v>Sleeve</v>
          </cell>
          <cell r="E135" t="str">
            <v>Press Sleeve Placket( Solid) with liiling</v>
          </cell>
          <cell r="F135" t="str">
            <v>I</v>
          </cell>
          <cell r="G135" t="str">
            <v>Iron table</v>
          </cell>
          <cell r="H135">
            <v>0.6</v>
          </cell>
          <cell r="I135">
            <v>100</v>
          </cell>
        </row>
        <row r="136">
          <cell r="A136">
            <v>132</v>
          </cell>
          <cell r="B136" t="str">
            <v>Mens</v>
          </cell>
          <cell r="C136">
            <v>2</v>
          </cell>
          <cell r="D136" t="str">
            <v>Sleeve</v>
          </cell>
          <cell r="E136" t="str">
            <v>Make sleeve placket</v>
          </cell>
          <cell r="F136" t="str">
            <v>M</v>
          </cell>
          <cell r="G136" t="str">
            <v>2N4TLSUBT</v>
          </cell>
          <cell r="H136">
            <v>0.4</v>
          </cell>
          <cell r="I136">
            <v>150</v>
          </cell>
        </row>
        <row r="137">
          <cell r="A137">
            <v>133</v>
          </cell>
          <cell r="B137" t="str">
            <v>Mens</v>
          </cell>
          <cell r="C137">
            <v>2</v>
          </cell>
          <cell r="D137" t="str">
            <v>Sleeve</v>
          </cell>
          <cell r="E137" t="str">
            <v>Mark sleeve doghouse with trims</v>
          </cell>
          <cell r="F137" t="str">
            <v>H</v>
          </cell>
          <cell r="G137" t="str">
            <v>Plain Table</v>
          </cell>
          <cell r="H137">
            <v>0.4</v>
          </cell>
          <cell r="I137">
            <v>150</v>
          </cell>
        </row>
        <row r="138">
          <cell r="A138">
            <v>134</v>
          </cell>
          <cell r="B138" t="str">
            <v>Mens</v>
          </cell>
          <cell r="C138">
            <v>2</v>
          </cell>
          <cell r="D138" t="str">
            <v>Sleeve</v>
          </cell>
          <cell r="E138" t="str">
            <v>Attach tape at Sleeve placket</v>
          </cell>
          <cell r="F138" t="str">
            <v>M</v>
          </cell>
          <cell r="G138" t="str">
            <v>1N2TLS-UBT</v>
          </cell>
          <cell r="H138">
            <v>0.4</v>
          </cell>
          <cell r="I138">
            <v>150</v>
          </cell>
        </row>
        <row r="139">
          <cell r="A139">
            <v>135</v>
          </cell>
          <cell r="B139" t="str">
            <v>Mens</v>
          </cell>
          <cell r="C139">
            <v>2</v>
          </cell>
          <cell r="D139" t="str">
            <v>Sleeve</v>
          </cell>
          <cell r="E139" t="str">
            <v>Mark Slv Plkt Dog House</v>
          </cell>
          <cell r="F139" t="str">
            <v>H</v>
          </cell>
          <cell r="G139" t="str">
            <v>Plain Table</v>
          </cell>
          <cell r="H139">
            <v>0.15</v>
          </cell>
          <cell r="I139">
            <v>400</v>
          </cell>
        </row>
        <row r="140">
          <cell r="A140">
            <v>136</v>
          </cell>
          <cell r="B140" t="str">
            <v>Mens</v>
          </cell>
          <cell r="C140">
            <v>2</v>
          </cell>
          <cell r="D140" t="str">
            <v>Sleeve</v>
          </cell>
          <cell r="E140" t="str">
            <v>Attach Sleeve Placket "1."</v>
          </cell>
          <cell r="F140" t="str">
            <v>M</v>
          </cell>
          <cell r="G140" t="str">
            <v>1N2TLS-UBT</v>
          </cell>
          <cell r="H140">
            <v>0.8</v>
          </cell>
          <cell r="I140">
            <v>75</v>
          </cell>
          <cell r="J140" t="str">
            <v>1/16" CR</v>
          </cell>
          <cell r="K140" t="str">
            <v>1/16"CL</v>
          </cell>
        </row>
        <row r="141">
          <cell r="A141">
            <v>137</v>
          </cell>
          <cell r="B141" t="str">
            <v>Mens</v>
          </cell>
          <cell r="C141">
            <v>2</v>
          </cell>
          <cell r="D141" t="str">
            <v>Sleeve</v>
          </cell>
          <cell r="E141" t="str">
            <v>Attach Sleeve Placket "ê"</v>
          </cell>
          <cell r="F141" t="str">
            <v>M</v>
          </cell>
          <cell r="G141" t="str">
            <v>1N2TLS-UBT</v>
          </cell>
          <cell r="H141">
            <v>0.8</v>
          </cell>
          <cell r="I141">
            <v>75</v>
          </cell>
        </row>
        <row r="142">
          <cell r="A142">
            <v>138</v>
          </cell>
          <cell r="B142" t="str">
            <v>Mens</v>
          </cell>
          <cell r="C142">
            <v>2</v>
          </cell>
          <cell r="D142" t="str">
            <v>Sleeve</v>
          </cell>
          <cell r="E142" t="str">
            <v>Attach Sleeve Placket with"£" Diamond</v>
          </cell>
          <cell r="F142" t="str">
            <v>M</v>
          </cell>
          <cell r="G142" t="str">
            <v>1N2TLS-UBT</v>
          </cell>
          <cell r="H142">
            <v>0.85</v>
          </cell>
          <cell r="I142">
            <v>70.588235294117652</v>
          </cell>
        </row>
        <row r="143">
          <cell r="A143">
            <v>139</v>
          </cell>
          <cell r="B143" t="str">
            <v>Mens</v>
          </cell>
          <cell r="C143">
            <v>2</v>
          </cell>
          <cell r="D143" t="str">
            <v>Sleeve</v>
          </cell>
          <cell r="E143" t="str">
            <v>Topstitch sleeve placket</v>
          </cell>
          <cell r="F143" t="str">
            <v>M</v>
          </cell>
          <cell r="G143" t="str">
            <v>1N2TLS-UBT</v>
          </cell>
          <cell r="H143">
            <v>0.6</v>
          </cell>
          <cell r="I143">
            <v>100</v>
          </cell>
        </row>
        <row r="144">
          <cell r="A144">
            <v>140</v>
          </cell>
          <cell r="B144" t="str">
            <v>Mens</v>
          </cell>
          <cell r="C144">
            <v>2</v>
          </cell>
          <cell r="D144" t="str">
            <v>Sleeve</v>
          </cell>
          <cell r="E144" t="str">
            <v>Decorative Box Stitch</v>
          </cell>
          <cell r="F144" t="str">
            <v>M</v>
          </cell>
          <cell r="G144" t="str">
            <v>1N2TBT-PG</v>
          </cell>
          <cell r="H144">
            <v>0.32</v>
          </cell>
          <cell r="I144">
            <v>187.5</v>
          </cell>
        </row>
        <row r="145">
          <cell r="A145">
            <v>141</v>
          </cell>
          <cell r="B145" t="str">
            <v>Mens</v>
          </cell>
          <cell r="C145">
            <v>2</v>
          </cell>
          <cell r="D145" t="str">
            <v>Sleeve</v>
          </cell>
          <cell r="E145" t="str">
            <v>Decorative Box Stitch</v>
          </cell>
          <cell r="F145" t="str">
            <v>M</v>
          </cell>
          <cell r="G145" t="str">
            <v>1N2TLS-UBT</v>
          </cell>
          <cell r="H145">
            <v>0.45</v>
          </cell>
          <cell r="I145">
            <v>133.33333333333334</v>
          </cell>
        </row>
        <row r="146">
          <cell r="A146">
            <v>142</v>
          </cell>
          <cell r="B146" t="str">
            <v>Mens</v>
          </cell>
          <cell r="C146">
            <v>2</v>
          </cell>
          <cell r="D146" t="str">
            <v>Sleeve</v>
          </cell>
          <cell r="E146" t="str">
            <v>Mark sleeve for patch &amp; Bon pkt attach</v>
          </cell>
          <cell r="F146" t="str">
            <v>H</v>
          </cell>
          <cell r="G146" t="str">
            <v>Plain Table</v>
          </cell>
          <cell r="H146">
            <v>0.35</v>
          </cell>
          <cell r="I146">
            <v>171.42857142857144</v>
          </cell>
        </row>
        <row r="147">
          <cell r="A147">
            <v>143</v>
          </cell>
          <cell r="B147" t="str">
            <v>Mens</v>
          </cell>
          <cell r="C147">
            <v>2</v>
          </cell>
          <cell r="D147" t="str">
            <v>Sleeve</v>
          </cell>
          <cell r="E147" t="str">
            <v>Attach sleeve patch</v>
          </cell>
          <cell r="F147" t="str">
            <v>M</v>
          </cell>
          <cell r="G147" t="str">
            <v>2N4TLSUBT</v>
          </cell>
          <cell r="H147">
            <v>1</v>
          </cell>
          <cell r="I147">
            <v>60</v>
          </cell>
        </row>
        <row r="148">
          <cell r="A148">
            <v>144</v>
          </cell>
          <cell r="B148" t="str">
            <v>Mens</v>
          </cell>
          <cell r="C148">
            <v>2</v>
          </cell>
          <cell r="D148" t="str">
            <v>Sleeve</v>
          </cell>
          <cell r="E148" t="str">
            <v>Mark &amp; trim sleeve placket</v>
          </cell>
          <cell r="F148" t="str">
            <v>H</v>
          </cell>
          <cell r="G148" t="str">
            <v>Plain Table</v>
          </cell>
          <cell r="H148">
            <v>0.3</v>
          </cell>
          <cell r="I148">
            <v>200</v>
          </cell>
          <cell r="J148" t="str">
            <v>Scessor</v>
          </cell>
          <cell r="K148" t="str">
            <v>pattarn</v>
          </cell>
        </row>
        <row r="149">
          <cell r="A149">
            <v>145</v>
          </cell>
          <cell r="B149" t="str">
            <v>Mens</v>
          </cell>
          <cell r="C149">
            <v>2</v>
          </cell>
          <cell r="D149" t="str">
            <v>Sleeve</v>
          </cell>
          <cell r="E149" t="str">
            <v>Button Hole Slv X4</v>
          </cell>
          <cell r="F149" t="str">
            <v>M</v>
          </cell>
          <cell r="G149" t="str">
            <v>1N2T-BH</v>
          </cell>
          <cell r="H149">
            <v>0.35</v>
          </cell>
          <cell r="I149">
            <v>171.42857142857144</v>
          </cell>
        </row>
        <row r="150">
          <cell r="A150">
            <v>146</v>
          </cell>
          <cell r="B150" t="str">
            <v>Mens</v>
          </cell>
          <cell r="C150">
            <v>2</v>
          </cell>
          <cell r="D150" t="str">
            <v>Sleeve</v>
          </cell>
          <cell r="E150" t="str">
            <v xml:space="preserve">Btn Attach Sleeve Placket </v>
          </cell>
          <cell r="F150" t="str">
            <v>M</v>
          </cell>
          <cell r="G150" t="str">
            <v>1N2TLS-BA</v>
          </cell>
          <cell r="H150">
            <v>0.25</v>
          </cell>
          <cell r="I150">
            <v>240</v>
          </cell>
        </row>
        <row r="151">
          <cell r="A151">
            <v>147</v>
          </cell>
          <cell r="B151" t="str">
            <v>Mens</v>
          </cell>
          <cell r="C151">
            <v>2</v>
          </cell>
          <cell r="D151" t="str">
            <v>Sleeve</v>
          </cell>
          <cell r="E151" t="str">
            <v>Barttack sleeve opening</v>
          </cell>
          <cell r="F151" t="str">
            <v>M</v>
          </cell>
          <cell r="G151" t="str">
            <v>1N2TBT</v>
          </cell>
          <cell r="H151">
            <v>0.3</v>
          </cell>
          <cell r="I151">
            <v>200</v>
          </cell>
        </row>
        <row r="152">
          <cell r="A152">
            <v>148</v>
          </cell>
          <cell r="B152" t="str">
            <v>Mens</v>
          </cell>
          <cell r="C152">
            <v>2</v>
          </cell>
          <cell r="D152" t="str">
            <v>Sleeve</v>
          </cell>
          <cell r="E152" t="str">
            <v>Sharing sleeve opening</v>
          </cell>
          <cell r="F152" t="str">
            <v>M</v>
          </cell>
          <cell r="G152" t="str">
            <v>1N2TLS-UBT</v>
          </cell>
          <cell r="H152">
            <v>0.4</v>
          </cell>
          <cell r="I152">
            <v>150</v>
          </cell>
        </row>
        <row r="153">
          <cell r="A153">
            <v>149</v>
          </cell>
          <cell r="B153" t="str">
            <v>Mens</v>
          </cell>
          <cell r="C153">
            <v>2</v>
          </cell>
          <cell r="D153" t="str">
            <v>Sleeve</v>
          </cell>
          <cell r="E153" t="str">
            <v>Attach &amp; Topstitch  epualet two part</v>
          </cell>
          <cell r="F153" t="str">
            <v>M</v>
          </cell>
          <cell r="G153" t="str">
            <v>1N2TLS-UBT</v>
          </cell>
          <cell r="H153">
            <v>0.6</v>
          </cell>
          <cell r="I153">
            <v>100</v>
          </cell>
        </row>
        <row r="154">
          <cell r="A154">
            <v>150</v>
          </cell>
          <cell r="B154" t="str">
            <v>Mens</v>
          </cell>
          <cell r="C154">
            <v>2</v>
          </cell>
          <cell r="D154" t="str">
            <v>Sleeve</v>
          </cell>
          <cell r="E154" t="str">
            <v>Press sleeve   epualet x2</v>
          </cell>
          <cell r="F154" t="str">
            <v>I</v>
          </cell>
          <cell r="G154" t="str">
            <v>Fusing-Slv Plkt</v>
          </cell>
          <cell r="H154">
            <v>0.3</v>
          </cell>
          <cell r="I154">
            <v>200</v>
          </cell>
          <cell r="N154" t="str">
            <v>17mm</v>
          </cell>
        </row>
        <row r="155">
          <cell r="A155">
            <v>151</v>
          </cell>
          <cell r="B155" t="str">
            <v>Mens</v>
          </cell>
          <cell r="C155">
            <v>2</v>
          </cell>
          <cell r="D155" t="str">
            <v>Sleeve</v>
          </cell>
          <cell r="E155" t="str">
            <v>Tack epualet centre for make</v>
          </cell>
          <cell r="F155" t="str">
            <v>M</v>
          </cell>
          <cell r="G155" t="str">
            <v>1N2TLS-UBT</v>
          </cell>
          <cell r="H155">
            <v>0.3</v>
          </cell>
          <cell r="I155">
            <v>200</v>
          </cell>
          <cell r="J155" t="str">
            <v>plain</v>
          </cell>
          <cell r="K155" t="str">
            <v>plain</v>
          </cell>
        </row>
        <row r="156">
          <cell r="A156">
            <v>152</v>
          </cell>
          <cell r="B156" t="str">
            <v>Mens</v>
          </cell>
          <cell r="C156">
            <v>2</v>
          </cell>
          <cell r="D156" t="str">
            <v>Sleeve</v>
          </cell>
          <cell r="E156" t="str">
            <v xml:space="preserve">Make sleeve epualet </v>
          </cell>
          <cell r="F156" t="str">
            <v>M</v>
          </cell>
          <cell r="G156" t="str">
            <v>1N2TLS-UBT</v>
          </cell>
          <cell r="H156">
            <v>0.6</v>
          </cell>
          <cell r="I156">
            <v>100</v>
          </cell>
          <cell r="J156" t="str">
            <v>1/16"CR</v>
          </cell>
          <cell r="K156" t="str">
            <v>plain</v>
          </cell>
        </row>
        <row r="157">
          <cell r="A157">
            <v>153</v>
          </cell>
          <cell r="B157" t="str">
            <v>Mens</v>
          </cell>
          <cell r="C157">
            <v>2</v>
          </cell>
          <cell r="D157" t="str">
            <v>Sleeve</v>
          </cell>
          <cell r="E157" t="str">
            <v>Measure &amp; cut sleeve epualet</v>
          </cell>
          <cell r="F157" t="str">
            <v>H</v>
          </cell>
          <cell r="G157" t="str">
            <v>Plain Table</v>
          </cell>
          <cell r="H157">
            <v>0.3</v>
          </cell>
          <cell r="I157">
            <v>200</v>
          </cell>
        </row>
        <row r="158">
          <cell r="A158">
            <v>154</v>
          </cell>
          <cell r="B158" t="str">
            <v>Mens</v>
          </cell>
          <cell r="C158">
            <v>2</v>
          </cell>
          <cell r="D158" t="str">
            <v>Sleeve</v>
          </cell>
          <cell r="E158" t="str">
            <v>Mark sleeve for epualet attach with cut</v>
          </cell>
          <cell r="F158" t="str">
            <v>H</v>
          </cell>
          <cell r="G158" t="str">
            <v>Plain Table</v>
          </cell>
          <cell r="H158">
            <v>0.35</v>
          </cell>
          <cell r="I158">
            <v>171.42857142857144</v>
          </cell>
          <cell r="J158" t="str">
            <v>Scessor</v>
          </cell>
          <cell r="K158" t="str">
            <v>pattarn</v>
          </cell>
        </row>
        <row r="159">
          <cell r="A159">
            <v>155</v>
          </cell>
          <cell r="B159" t="str">
            <v>Mens</v>
          </cell>
          <cell r="C159">
            <v>2</v>
          </cell>
          <cell r="D159" t="str">
            <v>Sleeve</v>
          </cell>
          <cell r="E159" t="str">
            <v>Attach sleeve epualet</v>
          </cell>
          <cell r="F159" t="str">
            <v>M</v>
          </cell>
          <cell r="G159" t="str">
            <v>1N2TLS-UBT</v>
          </cell>
          <cell r="H159">
            <v>0.65</v>
          </cell>
          <cell r="I159">
            <v>92.307692307692307</v>
          </cell>
          <cell r="J159" t="str">
            <v>1/16"CR</v>
          </cell>
          <cell r="K159" t="str">
            <v>plain</v>
          </cell>
        </row>
        <row r="160">
          <cell r="A160">
            <v>156</v>
          </cell>
          <cell r="B160" t="str">
            <v>Mens</v>
          </cell>
          <cell r="C160">
            <v>2</v>
          </cell>
          <cell r="D160" t="str">
            <v>Sleeve</v>
          </cell>
          <cell r="E160" t="str">
            <v>Button hole sleeve epualet</v>
          </cell>
          <cell r="F160" t="str">
            <v>M</v>
          </cell>
          <cell r="G160" t="str">
            <v>1N2T-BH</v>
          </cell>
          <cell r="H160">
            <v>0.15</v>
          </cell>
          <cell r="I160">
            <v>400</v>
          </cell>
        </row>
        <row r="161">
          <cell r="A161">
            <v>157</v>
          </cell>
          <cell r="B161" t="str">
            <v>Mens</v>
          </cell>
          <cell r="C161">
            <v>2</v>
          </cell>
          <cell r="D161" t="str">
            <v>Sleeve</v>
          </cell>
          <cell r="E161" t="str">
            <v>Decoration sleeve epualet</v>
          </cell>
          <cell r="F161" t="str">
            <v>M</v>
          </cell>
          <cell r="G161" t="str">
            <v>1N2TLS-UBT</v>
          </cell>
          <cell r="H161">
            <v>0.23</v>
          </cell>
          <cell r="I161">
            <v>260.86956521739131</v>
          </cell>
        </row>
        <row r="162">
          <cell r="A162">
            <v>158</v>
          </cell>
          <cell r="B162" t="str">
            <v>Mens</v>
          </cell>
          <cell r="C162">
            <v>2</v>
          </cell>
          <cell r="D162" t="str">
            <v>Sleeve</v>
          </cell>
          <cell r="E162" t="str">
            <v>Trim &amp; Turn sleeve epualet</v>
          </cell>
          <cell r="F162" t="str">
            <v>H</v>
          </cell>
          <cell r="G162" t="str">
            <v>Plain Table</v>
          </cell>
          <cell r="H162">
            <v>0.36699999999999999</v>
          </cell>
          <cell r="I162">
            <v>163.48773841961852</v>
          </cell>
        </row>
        <row r="163">
          <cell r="A163">
            <v>159</v>
          </cell>
          <cell r="B163" t="str">
            <v>Mens</v>
          </cell>
          <cell r="C163">
            <v>2</v>
          </cell>
          <cell r="D163" t="str">
            <v>Sleeve</v>
          </cell>
          <cell r="E163" t="str">
            <v xml:space="preserve">Top stitch sleeve  epualet </v>
          </cell>
          <cell r="F163" t="str">
            <v>M</v>
          </cell>
          <cell r="G163" t="str">
            <v>1N2TLS-UBT</v>
          </cell>
          <cell r="H163">
            <v>0.65</v>
          </cell>
          <cell r="I163">
            <v>92.307692307692307</v>
          </cell>
        </row>
        <row r="164">
          <cell r="A164">
            <v>160</v>
          </cell>
          <cell r="B164" t="str">
            <v>Mens</v>
          </cell>
          <cell r="C164">
            <v>2</v>
          </cell>
          <cell r="D164" t="str">
            <v>Sleeve</v>
          </cell>
          <cell r="E164" t="str">
            <v>Tack epualet two part &amp; centre for make</v>
          </cell>
          <cell r="F164" t="str">
            <v>M</v>
          </cell>
          <cell r="G164" t="str">
            <v>1N2TLS-UBT</v>
          </cell>
          <cell r="H164">
            <v>0.3</v>
          </cell>
          <cell r="I164">
            <v>200</v>
          </cell>
        </row>
        <row r="165">
          <cell r="A165">
            <v>161</v>
          </cell>
          <cell r="B165" t="str">
            <v>Mens</v>
          </cell>
          <cell r="C165">
            <v>2</v>
          </cell>
          <cell r="D165" t="str">
            <v>Sleeve</v>
          </cell>
          <cell r="E165" t="str">
            <v>Attach snap button at slv epualet</v>
          </cell>
          <cell r="F165" t="str">
            <v>M</v>
          </cell>
          <cell r="G165" t="str">
            <v>Snap</v>
          </cell>
          <cell r="H165">
            <v>0.3</v>
          </cell>
          <cell r="I165">
            <v>200</v>
          </cell>
        </row>
        <row r="166">
          <cell r="A166">
            <v>162</v>
          </cell>
          <cell r="B166" t="str">
            <v>Mens</v>
          </cell>
          <cell r="C166">
            <v>2</v>
          </cell>
          <cell r="D166" t="str">
            <v>Sleeve</v>
          </cell>
          <cell r="E166" t="str">
            <v>Tack cuff with sleeve</v>
          </cell>
          <cell r="F166" t="str">
            <v>M</v>
          </cell>
          <cell r="G166" t="str">
            <v>1N2TLS-UBT</v>
          </cell>
          <cell r="H166">
            <v>0.4</v>
          </cell>
          <cell r="I166">
            <v>150</v>
          </cell>
        </row>
        <row r="167">
          <cell r="A167">
            <v>163</v>
          </cell>
          <cell r="B167" t="str">
            <v>Mens</v>
          </cell>
          <cell r="C167">
            <v>2</v>
          </cell>
          <cell r="D167" t="str">
            <v>Sleeve</v>
          </cell>
          <cell r="E167" t="str">
            <v>Fold &amp; topstitch cuff with sleeve</v>
          </cell>
          <cell r="F167" t="str">
            <v>M</v>
          </cell>
          <cell r="G167" t="str">
            <v>1N2TLS-UBT</v>
          </cell>
          <cell r="H167">
            <v>0.35</v>
          </cell>
          <cell r="I167">
            <v>171.42857142857144</v>
          </cell>
        </row>
        <row r="168">
          <cell r="A168">
            <v>164</v>
          </cell>
          <cell r="B168" t="str">
            <v>Mens</v>
          </cell>
          <cell r="C168">
            <v>2</v>
          </cell>
          <cell r="D168" t="str">
            <v>Sleeve</v>
          </cell>
          <cell r="E168" t="str">
            <v>Attach sleeve band to sleeve</v>
          </cell>
          <cell r="F168" t="str">
            <v>M</v>
          </cell>
          <cell r="G168" t="str">
            <v>1N2TLS-UBT</v>
          </cell>
          <cell r="H168">
            <v>0.6</v>
          </cell>
          <cell r="I168">
            <v>100</v>
          </cell>
        </row>
        <row r="169">
          <cell r="A169">
            <v>165</v>
          </cell>
          <cell r="B169" t="str">
            <v>Mens</v>
          </cell>
          <cell r="C169">
            <v>2</v>
          </cell>
          <cell r="D169" t="str">
            <v>Sleeve</v>
          </cell>
          <cell r="E169" t="str">
            <v>Press sleeve inforcement</v>
          </cell>
          <cell r="F169" t="str">
            <v>I</v>
          </cell>
          <cell r="G169" t="str">
            <v>Iron table</v>
          </cell>
          <cell r="H169">
            <v>0.5</v>
          </cell>
          <cell r="I169">
            <v>120</v>
          </cell>
        </row>
        <row r="170">
          <cell r="A170">
            <v>166</v>
          </cell>
          <cell r="B170" t="str">
            <v>Mens</v>
          </cell>
          <cell r="C170">
            <v>2</v>
          </cell>
          <cell r="D170" t="str">
            <v>Sleeve</v>
          </cell>
          <cell r="E170" t="str">
            <v>Attach sleeve inforcement with deco</v>
          </cell>
          <cell r="F170" t="str">
            <v>M</v>
          </cell>
          <cell r="G170" t="str">
            <v>1N2TLS-UBT</v>
          </cell>
          <cell r="H170">
            <v>0.8</v>
          </cell>
          <cell r="I170">
            <v>75</v>
          </cell>
        </row>
        <row r="171">
          <cell r="A171">
            <v>167</v>
          </cell>
          <cell r="B171" t="str">
            <v>Mens</v>
          </cell>
          <cell r="C171">
            <v>2</v>
          </cell>
          <cell r="D171" t="str">
            <v>Sleeve</v>
          </cell>
          <cell r="E171" t="str">
            <v xml:space="preserve">Make ,measure &amp; cut sleeve loop </v>
          </cell>
          <cell r="F171" t="str">
            <v>M</v>
          </cell>
          <cell r="G171" t="str">
            <v>1N2TLS-UBT</v>
          </cell>
          <cell r="H171">
            <v>0.3</v>
          </cell>
          <cell r="I171">
            <v>200</v>
          </cell>
        </row>
        <row r="172">
          <cell r="A172">
            <v>168</v>
          </cell>
          <cell r="B172" t="str">
            <v>Mens</v>
          </cell>
          <cell r="C172">
            <v>2</v>
          </cell>
          <cell r="D172" t="str">
            <v>Sleeve</v>
          </cell>
          <cell r="E172" t="str">
            <v>Attach loop at sleeve</v>
          </cell>
          <cell r="F172" t="str">
            <v>M</v>
          </cell>
          <cell r="G172" t="str">
            <v>1N2TLS-UBT</v>
          </cell>
          <cell r="H172">
            <v>0.45</v>
          </cell>
          <cell r="I172">
            <v>133.33333333333334</v>
          </cell>
        </row>
        <row r="173">
          <cell r="A173">
            <v>169</v>
          </cell>
          <cell r="B173" t="str">
            <v>Mens</v>
          </cell>
          <cell r="C173">
            <v>2</v>
          </cell>
          <cell r="D173" t="str">
            <v>Sleeve</v>
          </cell>
          <cell r="E173" t="str">
            <v>Sharing sleeve neck</v>
          </cell>
          <cell r="F173" t="str">
            <v>M</v>
          </cell>
          <cell r="G173" t="str">
            <v>1N2TLS-UBT</v>
          </cell>
          <cell r="H173">
            <v>0.4</v>
          </cell>
          <cell r="I173">
            <v>150</v>
          </cell>
          <cell r="J173" t="str">
            <v>Sharing</v>
          </cell>
        </row>
        <row r="174">
          <cell r="A174">
            <v>170</v>
          </cell>
          <cell r="B174" t="str">
            <v>Mens</v>
          </cell>
          <cell r="C174">
            <v>2</v>
          </cell>
          <cell r="D174" t="str">
            <v>Sleeve</v>
          </cell>
          <cell r="E174" t="str">
            <v>Make sleeve elastic binder tape</v>
          </cell>
          <cell r="F174" t="str">
            <v>M</v>
          </cell>
          <cell r="G174" t="str">
            <v>2N4TLSUBT</v>
          </cell>
          <cell r="H174">
            <v>0.45</v>
          </cell>
          <cell r="I174">
            <v>133.33333333333334</v>
          </cell>
        </row>
        <row r="175">
          <cell r="A175">
            <v>171</v>
          </cell>
          <cell r="B175" t="str">
            <v>Mens</v>
          </cell>
          <cell r="C175">
            <v>2</v>
          </cell>
          <cell r="D175" t="str">
            <v>Sleeve</v>
          </cell>
          <cell r="E175" t="str">
            <v>Mark sleeve for attach elastic binder</v>
          </cell>
          <cell r="F175" t="str">
            <v>H</v>
          </cell>
          <cell r="G175" t="str">
            <v>Plain Table</v>
          </cell>
          <cell r="H175">
            <v>0.35</v>
          </cell>
          <cell r="I175">
            <v>171.42857142857144</v>
          </cell>
        </row>
        <row r="176">
          <cell r="A176">
            <v>172</v>
          </cell>
          <cell r="B176" t="str">
            <v>Mens</v>
          </cell>
          <cell r="C176">
            <v>2</v>
          </cell>
          <cell r="D176" t="str">
            <v>Sleeve</v>
          </cell>
          <cell r="E176" t="str">
            <v>Measure, mark  &amp; Trim  sleeve elastic</v>
          </cell>
          <cell r="F176" t="str">
            <v>H</v>
          </cell>
          <cell r="G176" t="str">
            <v>Plain Table</v>
          </cell>
          <cell r="H176">
            <v>0.36699999999999999</v>
          </cell>
          <cell r="I176">
            <v>163.48773841961852</v>
          </cell>
        </row>
        <row r="177">
          <cell r="A177">
            <v>173</v>
          </cell>
          <cell r="B177" t="str">
            <v>Mens</v>
          </cell>
          <cell r="C177">
            <v>2</v>
          </cell>
          <cell r="D177" t="str">
            <v>Sleeve</v>
          </cell>
          <cell r="E177" t="str">
            <v>Measure &amp; Trim elsatic</v>
          </cell>
          <cell r="F177" t="str">
            <v>H</v>
          </cell>
          <cell r="G177" t="str">
            <v>Plain Table</v>
          </cell>
          <cell r="H177">
            <v>0.36699999999999999</v>
          </cell>
          <cell r="I177">
            <v>163.48773841961852</v>
          </cell>
        </row>
        <row r="178">
          <cell r="A178">
            <v>174</v>
          </cell>
          <cell r="B178" t="str">
            <v>Mens</v>
          </cell>
          <cell r="C178">
            <v>2</v>
          </cell>
          <cell r="D178" t="str">
            <v>Sleeve</v>
          </cell>
          <cell r="E178" t="str">
            <v>Insert elastic at sleeve elastic binder</v>
          </cell>
          <cell r="F178" t="str">
            <v>H</v>
          </cell>
          <cell r="G178" t="str">
            <v>Plain Table</v>
          </cell>
          <cell r="H178">
            <v>0.6</v>
          </cell>
          <cell r="I178">
            <v>100</v>
          </cell>
        </row>
        <row r="179">
          <cell r="A179">
            <v>175</v>
          </cell>
          <cell r="B179" t="str">
            <v>Mens</v>
          </cell>
          <cell r="C179">
            <v>2</v>
          </cell>
          <cell r="D179" t="str">
            <v>Sleeve</v>
          </cell>
          <cell r="E179" t="str">
            <v>Tack sleeve with elastic</v>
          </cell>
          <cell r="F179" t="str">
            <v>M</v>
          </cell>
          <cell r="G179" t="str">
            <v>1N2TLS-UBT</v>
          </cell>
          <cell r="H179">
            <v>0.4</v>
          </cell>
          <cell r="I179">
            <v>150</v>
          </cell>
        </row>
        <row r="180">
          <cell r="A180">
            <v>176</v>
          </cell>
          <cell r="B180" t="str">
            <v>Mens</v>
          </cell>
          <cell r="C180">
            <v>2</v>
          </cell>
          <cell r="D180" t="str">
            <v>Sleeve</v>
          </cell>
          <cell r="E180" t="str">
            <v>Press sleeve hem band</v>
          </cell>
          <cell r="F180" t="str">
            <v>I</v>
          </cell>
          <cell r="G180" t="str">
            <v>Iron table</v>
          </cell>
          <cell r="H180">
            <v>0.5</v>
          </cell>
          <cell r="I180">
            <v>120</v>
          </cell>
        </row>
        <row r="181">
          <cell r="A181">
            <v>177</v>
          </cell>
          <cell r="B181" t="str">
            <v>Mens</v>
          </cell>
          <cell r="C181">
            <v>2</v>
          </cell>
          <cell r="D181" t="str">
            <v>Sleeve</v>
          </cell>
          <cell r="E181" t="str">
            <v>Mark sleeve for make "V"</v>
          </cell>
          <cell r="F181" t="str">
            <v>H</v>
          </cell>
          <cell r="G181" t="str">
            <v>Plain Table</v>
          </cell>
          <cell r="H181">
            <v>0.41</v>
          </cell>
          <cell r="I181">
            <v>146.34146341463415</v>
          </cell>
        </row>
        <row r="182">
          <cell r="A182">
            <v>178</v>
          </cell>
          <cell r="B182" t="str">
            <v>Mens</v>
          </cell>
          <cell r="C182">
            <v>2</v>
          </cell>
          <cell r="D182" t="str">
            <v>Sleeve</v>
          </cell>
          <cell r="E182" t="str">
            <v>Sleeve rolling with "V"</v>
          </cell>
          <cell r="F182" t="str">
            <v>M</v>
          </cell>
          <cell r="G182" t="str">
            <v>1N2TLS-UBT</v>
          </cell>
          <cell r="H182">
            <v>0.6</v>
          </cell>
          <cell r="I182">
            <v>100</v>
          </cell>
        </row>
        <row r="183">
          <cell r="A183">
            <v>179</v>
          </cell>
          <cell r="B183" t="str">
            <v>Mens</v>
          </cell>
          <cell r="C183">
            <v>2</v>
          </cell>
          <cell r="D183" t="str">
            <v>Sleeve</v>
          </cell>
          <cell r="E183" t="str">
            <v xml:space="preserve">Trims &amp;  check sleeve </v>
          </cell>
          <cell r="F183" t="str">
            <v>H</v>
          </cell>
          <cell r="G183" t="str">
            <v>Plain Table</v>
          </cell>
          <cell r="H183">
            <v>0.41</v>
          </cell>
          <cell r="I183">
            <v>146.34146341463415</v>
          </cell>
        </row>
        <row r="184">
          <cell r="A184">
            <v>180</v>
          </cell>
          <cell r="B184" t="str">
            <v>Mens</v>
          </cell>
          <cell r="C184">
            <v>2</v>
          </cell>
          <cell r="D184" t="str">
            <v>Sleeve</v>
          </cell>
          <cell r="E184" t="str">
            <v>Make smoking at Sleeve rolling</v>
          </cell>
          <cell r="F184" t="str">
            <v>M</v>
          </cell>
          <cell r="G184" t="str">
            <v>4N8TCS-smoke</v>
          </cell>
          <cell r="H184">
            <v>0.5</v>
          </cell>
          <cell r="I184">
            <v>120</v>
          </cell>
        </row>
        <row r="185">
          <cell r="A185">
            <v>181</v>
          </cell>
          <cell r="B185" t="str">
            <v>Mens</v>
          </cell>
          <cell r="C185">
            <v>2</v>
          </cell>
          <cell r="D185" t="str">
            <v>Sleeve</v>
          </cell>
          <cell r="E185" t="str">
            <v>Sleeve rolling</v>
          </cell>
          <cell r="F185" t="str">
            <v>M</v>
          </cell>
          <cell r="G185" t="str">
            <v>4N8TCS-smoke</v>
          </cell>
          <cell r="H185">
            <v>0.4</v>
          </cell>
          <cell r="I185">
            <v>150</v>
          </cell>
        </row>
        <row r="186">
          <cell r="A186">
            <v>182</v>
          </cell>
          <cell r="B186" t="str">
            <v>Mens</v>
          </cell>
          <cell r="C186">
            <v>2</v>
          </cell>
          <cell r="D186" t="str">
            <v>Sleeve</v>
          </cell>
          <cell r="E186" t="str">
            <v>Trims &amp; check sleeve smoking</v>
          </cell>
          <cell r="F186" t="str">
            <v>H</v>
          </cell>
          <cell r="G186" t="str">
            <v>Plain Table</v>
          </cell>
          <cell r="H186">
            <v>0.5</v>
          </cell>
          <cell r="I186">
            <v>120</v>
          </cell>
        </row>
        <row r="187">
          <cell r="A187">
            <v>183</v>
          </cell>
          <cell r="B187" t="str">
            <v>Mens</v>
          </cell>
          <cell r="C187">
            <v>2</v>
          </cell>
          <cell r="D187" t="str">
            <v>Sleeve</v>
          </cell>
          <cell r="E187" t="str">
            <v>make measure &amp; cut shoulder loop</v>
          </cell>
          <cell r="F187" t="str">
            <v>M</v>
          </cell>
          <cell r="G187" t="str">
            <v>1N2TLS-UBT</v>
          </cell>
          <cell r="H187">
            <v>0.3</v>
          </cell>
          <cell r="I187">
            <v>200</v>
          </cell>
        </row>
        <row r="188">
          <cell r="A188">
            <v>184</v>
          </cell>
          <cell r="B188" t="str">
            <v>Mens</v>
          </cell>
          <cell r="C188">
            <v>2</v>
          </cell>
          <cell r="D188" t="str">
            <v>Sleeve</v>
          </cell>
          <cell r="E188" t="str">
            <v>Make  &amp; mark sleeve pkt bon</v>
          </cell>
          <cell r="F188" t="str">
            <v>M</v>
          </cell>
          <cell r="G188" t="str">
            <v>1N2TLS-UBT</v>
          </cell>
          <cell r="H188">
            <v>0.5</v>
          </cell>
          <cell r="I188">
            <v>120</v>
          </cell>
          <cell r="J188" t="str">
            <v>PL</v>
          </cell>
        </row>
        <row r="189">
          <cell r="A189">
            <v>185</v>
          </cell>
          <cell r="B189" t="str">
            <v>Mens</v>
          </cell>
          <cell r="C189">
            <v>2</v>
          </cell>
          <cell r="D189" t="str">
            <v>Sleeve</v>
          </cell>
          <cell r="E189" t="str">
            <v xml:space="preserve">attach sleeve pkt bon x2 </v>
          </cell>
          <cell r="F189" t="str">
            <v>M</v>
          </cell>
          <cell r="G189" t="str">
            <v>1N2TLS-UBT</v>
          </cell>
          <cell r="H189">
            <v>0.75</v>
          </cell>
          <cell r="I189">
            <v>80</v>
          </cell>
          <cell r="J189" t="str">
            <v>PL</v>
          </cell>
        </row>
        <row r="190">
          <cell r="A190">
            <v>186</v>
          </cell>
          <cell r="B190" t="str">
            <v>Mens</v>
          </cell>
          <cell r="C190">
            <v>2</v>
          </cell>
          <cell r="D190" t="str">
            <v>Sleeve</v>
          </cell>
          <cell r="E190" t="str">
            <v xml:space="preserve">Trim pkt opening </v>
          </cell>
          <cell r="F190" t="str">
            <v>H</v>
          </cell>
          <cell r="G190" t="str">
            <v>Plain Table</v>
          </cell>
          <cell r="H190">
            <v>0.5</v>
          </cell>
          <cell r="I190">
            <v>120</v>
          </cell>
        </row>
        <row r="191">
          <cell r="A191">
            <v>187</v>
          </cell>
          <cell r="B191" t="str">
            <v>Mens</v>
          </cell>
          <cell r="C191">
            <v>2</v>
          </cell>
          <cell r="D191" t="str">
            <v>Sleeve</v>
          </cell>
          <cell r="E191" t="str">
            <v>Fold &amp; tack bon pkt opening two side</v>
          </cell>
          <cell r="F191" t="str">
            <v>M</v>
          </cell>
          <cell r="G191" t="str">
            <v>1N2TLS-UBT</v>
          </cell>
          <cell r="H191">
            <v>0.6</v>
          </cell>
          <cell r="I191">
            <v>100</v>
          </cell>
          <cell r="J191" t="str">
            <v>PL</v>
          </cell>
        </row>
        <row r="192">
          <cell r="A192">
            <v>188</v>
          </cell>
          <cell r="B192" t="str">
            <v>Mens</v>
          </cell>
          <cell r="C192">
            <v>2</v>
          </cell>
          <cell r="D192" t="str">
            <v>Sleeve</v>
          </cell>
          <cell r="E192" t="str">
            <v xml:space="preserve">Topstitch  bon pkt lower &amp; top with facing </v>
          </cell>
          <cell r="F192" t="str">
            <v>M</v>
          </cell>
          <cell r="G192" t="str">
            <v>1N2TLS-UBT</v>
          </cell>
          <cell r="H192">
            <v>1</v>
          </cell>
          <cell r="I192">
            <v>60</v>
          </cell>
          <cell r="J192" t="str">
            <v>1/16" CR</v>
          </cell>
        </row>
        <row r="193">
          <cell r="A193">
            <v>189</v>
          </cell>
          <cell r="B193" t="str">
            <v>Mens</v>
          </cell>
          <cell r="C193">
            <v>2</v>
          </cell>
          <cell r="D193" t="str">
            <v>Sleeve</v>
          </cell>
          <cell r="E193" t="str">
            <v>Middle stuitch bon pkt  with pattern</v>
          </cell>
          <cell r="F193" t="str">
            <v>M</v>
          </cell>
          <cell r="G193" t="str">
            <v>1N2TLS-UBT</v>
          </cell>
          <cell r="H193">
            <v>0.4</v>
          </cell>
          <cell r="I193">
            <v>150</v>
          </cell>
          <cell r="J193" t="str">
            <v>PL</v>
          </cell>
        </row>
        <row r="194">
          <cell r="A194">
            <v>190</v>
          </cell>
          <cell r="B194" t="str">
            <v>Mens</v>
          </cell>
          <cell r="C194">
            <v>2</v>
          </cell>
          <cell r="D194" t="str">
            <v>Sleeve</v>
          </cell>
          <cell r="E194" t="str">
            <v>Barttack at sleeve placket x2</v>
          </cell>
          <cell r="F194" t="str">
            <v>M</v>
          </cell>
          <cell r="G194" t="str">
            <v>1N2TBT-PG</v>
          </cell>
          <cell r="H194">
            <v>0.2</v>
          </cell>
          <cell r="I194">
            <v>300</v>
          </cell>
        </row>
        <row r="195">
          <cell r="A195">
            <v>191</v>
          </cell>
          <cell r="B195" t="str">
            <v>Mens</v>
          </cell>
          <cell r="C195">
            <v>2</v>
          </cell>
          <cell r="D195" t="str">
            <v>Sleeve</v>
          </cell>
          <cell r="E195" t="str">
            <v>Make &amp; attach sleeve placket label</v>
          </cell>
          <cell r="F195" t="str">
            <v>M</v>
          </cell>
          <cell r="G195" t="str">
            <v>1N2TLS-UBT</v>
          </cell>
          <cell r="H195">
            <v>0.4</v>
          </cell>
          <cell r="I195">
            <v>150</v>
          </cell>
          <cell r="J195" t="str">
            <v>PL</v>
          </cell>
        </row>
        <row r="196">
          <cell r="A196">
            <v>192</v>
          </cell>
          <cell r="B196" t="str">
            <v>Mens</v>
          </cell>
          <cell r="C196">
            <v>2</v>
          </cell>
          <cell r="D196" t="str">
            <v>Sleeve</v>
          </cell>
        </row>
        <row r="197">
          <cell r="A197">
            <v>193</v>
          </cell>
          <cell r="B197" t="str">
            <v>Mens</v>
          </cell>
          <cell r="C197">
            <v>2</v>
          </cell>
          <cell r="D197" t="str">
            <v>Sleeve</v>
          </cell>
        </row>
        <row r="198">
          <cell r="A198">
            <v>194</v>
          </cell>
          <cell r="B198" t="str">
            <v>Mens</v>
          </cell>
          <cell r="C198">
            <v>2</v>
          </cell>
          <cell r="D198" t="str">
            <v>Sleeve</v>
          </cell>
        </row>
        <row r="199">
          <cell r="A199">
            <v>195</v>
          </cell>
          <cell r="B199" t="str">
            <v>Mens</v>
          </cell>
          <cell r="C199">
            <v>2</v>
          </cell>
          <cell r="D199" t="str">
            <v>Sleeve</v>
          </cell>
        </row>
        <row r="200">
          <cell r="A200">
            <v>196</v>
          </cell>
          <cell r="B200" t="str">
            <v>Mens</v>
          </cell>
          <cell r="C200">
            <v>2</v>
          </cell>
          <cell r="D200" t="str">
            <v>Sleeve</v>
          </cell>
        </row>
        <row r="201">
          <cell r="A201">
            <v>197</v>
          </cell>
        </row>
        <row r="202">
          <cell r="A202">
            <v>198</v>
          </cell>
        </row>
        <row r="203">
          <cell r="A203">
            <v>199</v>
          </cell>
        </row>
        <row r="204">
          <cell r="A204">
            <v>200</v>
          </cell>
        </row>
        <row r="205">
          <cell r="A205">
            <v>201</v>
          </cell>
        </row>
        <row r="206">
          <cell r="A206">
            <v>202</v>
          </cell>
        </row>
        <row r="207">
          <cell r="A207">
            <v>203</v>
          </cell>
        </row>
        <row r="208">
          <cell r="A208">
            <v>204</v>
          </cell>
        </row>
        <row r="209">
          <cell r="A209">
            <v>205</v>
          </cell>
        </row>
        <row r="210">
          <cell r="A210">
            <v>206</v>
          </cell>
        </row>
        <row r="211">
          <cell r="A211">
            <v>207</v>
          </cell>
        </row>
        <row r="212">
          <cell r="A212">
            <v>208</v>
          </cell>
        </row>
        <row r="213">
          <cell r="A213">
            <v>209</v>
          </cell>
        </row>
        <row r="214">
          <cell r="A214">
            <v>210</v>
          </cell>
        </row>
        <row r="215">
          <cell r="A215">
            <v>211</v>
          </cell>
        </row>
        <row r="216">
          <cell r="A216">
            <v>212</v>
          </cell>
        </row>
        <row r="217">
          <cell r="A217">
            <v>213</v>
          </cell>
        </row>
        <row r="218">
          <cell r="A218">
            <v>214</v>
          </cell>
        </row>
        <row r="219">
          <cell r="A219">
            <v>215</v>
          </cell>
        </row>
        <row r="220">
          <cell r="A220">
            <v>216</v>
          </cell>
        </row>
        <row r="221">
          <cell r="A221">
            <v>217</v>
          </cell>
        </row>
        <row r="222">
          <cell r="A222">
            <v>218</v>
          </cell>
        </row>
        <row r="223">
          <cell r="A223">
            <v>219</v>
          </cell>
        </row>
        <row r="224">
          <cell r="A224">
            <v>220</v>
          </cell>
        </row>
        <row r="225">
          <cell r="A225">
            <v>221</v>
          </cell>
        </row>
        <row r="226">
          <cell r="A226">
            <v>222</v>
          </cell>
        </row>
        <row r="227">
          <cell r="A227">
            <v>223</v>
          </cell>
        </row>
        <row r="228">
          <cell r="A228">
            <v>224</v>
          </cell>
        </row>
        <row r="229">
          <cell r="A229">
            <v>225</v>
          </cell>
        </row>
        <row r="230">
          <cell r="A230">
            <v>226</v>
          </cell>
        </row>
        <row r="231">
          <cell r="A231">
            <v>227</v>
          </cell>
        </row>
        <row r="232">
          <cell r="A232">
            <v>228</v>
          </cell>
        </row>
        <row r="233">
          <cell r="A233">
            <v>229</v>
          </cell>
        </row>
        <row r="234">
          <cell r="A234">
            <v>230</v>
          </cell>
        </row>
        <row r="235">
          <cell r="A235">
            <v>231</v>
          </cell>
        </row>
        <row r="236">
          <cell r="A236">
            <v>232</v>
          </cell>
          <cell r="B236" t="str">
            <v>Mens</v>
          </cell>
          <cell r="C236">
            <v>3</v>
          </cell>
          <cell r="D236" t="str">
            <v>Cuff</v>
          </cell>
          <cell r="E236" t="str">
            <v>Attach lilling to cuff (Solid)</v>
          </cell>
          <cell r="F236" t="str">
            <v>I</v>
          </cell>
          <cell r="G236" t="str">
            <v>Iron Table</v>
          </cell>
          <cell r="H236">
            <v>0.23</v>
          </cell>
          <cell r="I236">
            <v>260.86956521739131</v>
          </cell>
        </row>
        <row r="237">
          <cell r="A237">
            <v>233</v>
          </cell>
          <cell r="B237" t="str">
            <v>Mens</v>
          </cell>
          <cell r="C237">
            <v>3</v>
          </cell>
          <cell r="D237" t="str">
            <v>Cuff</v>
          </cell>
          <cell r="E237" t="str">
            <v>Attach lilling to cuff (Check)</v>
          </cell>
          <cell r="F237" t="str">
            <v>I</v>
          </cell>
          <cell r="G237" t="str">
            <v>Iron Table</v>
          </cell>
          <cell r="H237">
            <v>0.4</v>
          </cell>
          <cell r="I237">
            <v>150</v>
          </cell>
        </row>
        <row r="238">
          <cell r="A238">
            <v>234</v>
          </cell>
          <cell r="B238" t="str">
            <v>Mens</v>
          </cell>
          <cell r="C238">
            <v>3</v>
          </cell>
          <cell r="D238" t="str">
            <v>Cuff</v>
          </cell>
          <cell r="E238" t="str">
            <v>Hem Cuff - Match</v>
          </cell>
          <cell r="F238" t="str">
            <v>M</v>
          </cell>
          <cell r="G238" t="str">
            <v>1N2TLS-UBT</v>
          </cell>
          <cell r="H238">
            <v>0.3</v>
          </cell>
          <cell r="I238">
            <v>200</v>
          </cell>
          <cell r="J238" t="str">
            <v xml:space="preserve">1/2 inch </v>
          </cell>
        </row>
        <row r="239">
          <cell r="A239">
            <v>235</v>
          </cell>
          <cell r="B239" t="str">
            <v>Mens</v>
          </cell>
          <cell r="C239">
            <v>3</v>
          </cell>
          <cell r="D239" t="str">
            <v>Cuff</v>
          </cell>
          <cell r="E239" t="str">
            <v xml:space="preserve">Hem Cuff </v>
          </cell>
          <cell r="F239" t="str">
            <v>M</v>
          </cell>
          <cell r="G239" t="str">
            <v>1N2TLS-UBT</v>
          </cell>
          <cell r="H239">
            <v>0.3</v>
          </cell>
          <cell r="I239">
            <v>200</v>
          </cell>
          <cell r="J239" t="str">
            <v>7mm</v>
          </cell>
        </row>
        <row r="240">
          <cell r="A240">
            <v>236</v>
          </cell>
          <cell r="B240" t="str">
            <v>Mens</v>
          </cell>
          <cell r="C240">
            <v>3</v>
          </cell>
          <cell r="D240" t="str">
            <v>Cuff</v>
          </cell>
          <cell r="E240" t="str">
            <v>Run Cuff - - Match</v>
          </cell>
          <cell r="F240" t="str">
            <v>M</v>
          </cell>
          <cell r="G240" t="str">
            <v>1N2TLS-EC</v>
          </cell>
          <cell r="H240">
            <v>0.7</v>
          </cell>
          <cell r="I240">
            <v>85.714285714285722</v>
          </cell>
          <cell r="J240" t="str">
            <v>1/4"EC</v>
          </cell>
          <cell r="K240" t="str">
            <v>1/4"EC</v>
          </cell>
        </row>
        <row r="241">
          <cell r="A241">
            <v>237</v>
          </cell>
          <cell r="B241" t="str">
            <v>Mens</v>
          </cell>
          <cell r="C241">
            <v>3</v>
          </cell>
          <cell r="D241" t="str">
            <v>Cuff</v>
          </cell>
          <cell r="E241" t="str">
            <v>Run Cuff - Curve Match</v>
          </cell>
          <cell r="F241" t="str">
            <v>M</v>
          </cell>
          <cell r="G241" t="str">
            <v>1N2TLS-EC</v>
          </cell>
          <cell r="H241">
            <v>0.5</v>
          </cell>
          <cell r="I241">
            <v>120</v>
          </cell>
        </row>
        <row r="242">
          <cell r="A242">
            <v>238</v>
          </cell>
          <cell r="B242" t="str">
            <v>Mens</v>
          </cell>
          <cell r="C242">
            <v>3</v>
          </cell>
          <cell r="D242" t="str">
            <v>Cuff</v>
          </cell>
          <cell r="E242" t="str">
            <v>Run Cuff - Two side Tack</v>
          </cell>
          <cell r="F242" t="str">
            <v>M</v>
          </cell>
          <cell r="G242" t="str">
            <v>1N2TLS-EC</v>
          </cell>
          <cell r="H242">
            <v>0.4</v>
          </cell>
          <cell r="I242">
            <v>150</v>
          </cell>
          <cell r="J242" t="str">
            <v>1/4"EC</v>
          </cell>
          <cell r="K242" t="str">
            <v>1/4"EC</v>
          </cell>
        </row>
        <row r="243">
          <cell r="A243">
            <v>239</v>
          </cell>
          <cell r="B243" t="str">
            <v>Mens</v>
          </cell>
          <cell r="C243">
            <v>3</v>
          </cell>
          <cell r="D243" t="str">
            <v>Cuff</v>
          </cell>
          <cell r="E243" t="str">
            <v>Run Cuff</v>
          </cell>
          <cell r="F243" t="str">
            <v>M</v>
          </cell>
          <cell r="G243" t="str">
            <v>1N2TLS-EC</v>
          </cell>
          <cell r="H243">
            <v>0.5</v>
          </cell>
          <cell r="I243">
            <v>120</v>
          </cell>
          <cell r="J243" t="str">
            <v>1/4"EC</v>
          </cell>
          <cell r="K243" t="str">
            <v>1/4"EC</v>
          </cell>
        </row>
        <row r="244">
          <cell r="A244">
            <v>240</v>
          </cell>
          <cell r="B244" t="str">
            <v>Mens</v>
          </cell>
          <cell r="C244">
            <v>3</v>
          </cell>
          <cell r="D244" t="str">
            <v>Cuff</v>
          </cell>
          <cell r="E244" t="str">
            <v>Trim &amp; Turn Cuff</v>
          </cell>
          <cell r="F244" t="str">
            <v>H</v>
          </cell>
          <cell r="G244" t="str">
            <v>Plain Table</v>
          </cell>
          <cell r="H244">
            <v>0.4</v>
          </cell>
          <cell r="I244">
            <v>150</v>
          </cell>
        </row>
        <row r="245">
          <cell r="A245">
            <v>241</v>
          </cell>
          <cell r="B245" t="str">
            <v>Mens</v>
          </cell>
          <cell r="C245">
            <v>3</v>
          </cell>
          <cell r="D245" t="str">
            <v>Cuff</v>
          </cell>
          <cell r="E245" t="str">
            <v>Trim Cuff Around</v>
          </cell>
          <cell r="F245" t="str">
            <v>M</v>
          </cell>
          <cell r="G245" t="str">
            <v>1N3TOL</v>
          </cell>
          <cell r="H245">
            <v>0.28000000000000003</v>
          </cell>
          <cell r="I245">
            <v>214.28571428571428</v>
          </cell>
        </row>
        <row r="246">
          <cell r="A246">
            <v>242</v>
          </cell>
          <cell r="B246" t="str">
            <v>Mens</v>
          </cell>
          <cell r="C246">
            <v>3</v>
          </cell>
          <cell r="D246" t="str">
            <v>Cuff</v>
          </cell>
          <cell r="E246" t="str">
            <v>Turn Cuff</v>
          </cell>
          <cell r="F246" t="str">
            <v>M</v>
          </cell>
          <cell r="G246" t="str">
            <v>Flap Turn</v>
          </cell>
          <cell r="H246">
            <v>0.2</v>
          </cell>
          <cell r="I246">
            <v>300</v>
          </cell>
        </row>
        <row r="247">
          <cell r="A247">
            <v>243</v>
          </cell>
          <cell r="B247" t="str">
            <v>Mens</v>
          </cell>
          <cell r="C247">
            <v>3</v>
          </cell>
          <cell r="D247" t="str">
            <v>Cuff</v>
          </cell>
          <cell r="E247" t="str">
            <v>Turn corners</v>
          </cell>
          <cell r="F247" t="str">
            <v>H</v>
          </cell>
          <cell r="G247" t="str">
            <v>Plain Table</v>
          </cell>
          <cell r="H247">
            <v>0.35</v>
          </cell>
          <cell r="I247">
            <v>171.42857142857144</v>
          </cell>
        </row>
        <row r="248">
          <cell r="A248">
            <v>244</v>
          </cell>
          <cell r="B248" t="str">
            <v>Mens</v>
          </cell>
          <cell r="C248">
            <v>3</v>
          </cell>
          <cell r="D248" t="str">
            <v>Cuff</v>
          </cell>
          <cell r="E248" t="str">
            <v>Trims &amp; Press Cuff</v>
          </cell>
          <cell r="F248" t="str">
            <v>M</v>
          </cell>
          <cell r="G248" t="str">
            <v>Cuff Press</v>
          </cell>
          <cell r="H248">
            <v>0.4</v>
          </cell>
          <cell r="I248">
            <v>150</v>
          </cell>
        </row>
        <row r="249">
          <cell r="A249">
            <v>245</v>
          </cell>
          <cell r="B249" t="str">
            <v>Mens</v>
          </cell>
          <cell r="C249">
            <v>3</v>
          </cell>
          <cell r="D249" t="str">
            <v>Cuff</v>
          </cell>
          <cell r="E249" t="str">
            <v xml:space="preserve">Press Cuff </v>
          </cell>
          <cell r="F249" t="str">
            <v>I</v>
          </cell>
          <cell r="G249" t="str">
            <v>Iron Table</v>
          </cell>
          <cell r="H249">
            <v>0.36</v>
          </cell>
          <cell r="I249">
            <v>166.66666666666669</v>
          </cell>
        </row>
        <row r="250">
          <cell r="A250">
            <v>246</v>
          </cell>
          <cell r="B250" t="str">
            <v>Mens</v>
          </cell>
          <cell r="C250">
            <v>3</v>
          </cell>
          <cell r="D250" t="str">
            <v>Cuff</v>
          </cell>
          <cell r="E250" t="str">
            <v xml:space="preserve">Top stitch Cuff 5mm" </v>
          </cell>
          <cell r="F250" t="str">
            <v>M</v>
          </cell>
          <cell r="G250" t="str">
            <v>1N2TLS-UBT</v>
          </cell>
          <cell r="H250">
            <v>0.45</v>
          </cell>
          <cell r="I250">
            <v>133.33333333333334</v>
          </cell>
          <cell r="J250" t="str">
            <v>5mm" CR</v>
          </cell>
        </row>
        <row r="251">
          <cell r="A251">
            <v>247</v>
          </cell>
          <cell r="B251" t="str">
            <v>Mens</v>
          </cell>
          <cell r="C251">
            <v>3</v>
          </cell>
          <cell r="D251" t="str">
            <v>Cuff</v>
          </cell>
          <cell r="E251" t="str">
            <v>Top stitch 1/16" Cuff</v>
          </cell>
          <cell r="F251" t="str">
            <v>M</v>
          </cell>
          <cell r="G251" t="str">
            <v>1N2TLS-UBT</v>
          </cell>
          <cell r="H251">
            <v>0.45</v>
          </cell>
          <cell r="I251">
            <v>133.33333333333334</v>
          </cell>
        </row>
        <row r="252">
          <cell r="A252">
            <v>248</v>
          </cell>
          <cell r="B252" t="str">
            <v>Mens</v>
          </cell>
          <cell r="C252">
            <v>3</v>
          </cell>
          <cell r="D252" t="str">
            <v>Cuff</v>
          </cell>
          <cell r="E252" t="str">
            <v>Top stitch Cuff 1/4"</v>
          </cell>
          <cell r="F252" t="str">
            <v>M</v>
          </cell>
          <cell r="G252" t="str">
            <v>1N2TLS-UBT</v>
          </cell>
          <cell r="H252">
            <v>0.45</v>
          </cell>
          <cell r="I252">
            <v>133.33333333333334</v>
          </cell>
          <cell r="J252" t="str">
            <v>1/4"CR</v>
          </cell>
        </row>
        <row r="253">
          <cell r="A253">
            <v>249</v>
          </cell>
          <cell r="B253" t="str">
            <v>Mens</v>
          </cell>
          <cell r="C253">
            <v>3</v>
          </cell>
          <cell r="D253" t="str">
            <v>Cuff</v>
          </cell>
          <cell r="E253" t="str">
            <v>Top stitch Cuff 1/4"- Curve</v>
          </cell>
          <cell r="F253" t="str">
            <v>M</v>
          </cell>
          <cell r="G253" t="str">
            <v>1N2TLS-UBT</v>
          </cell>
          <cell r="H253">
            <v>0.42</v>
          </cell>
          <cell r="I253">
            <v>142.85714285714286</v>
          </cell>
        </row>
        <row r="254">
          <cell r="A254">
            <v>250</v>
          </cell>
          <cell r="B254" t="str">
            <v>Mens</v>
          </cell>
          <cell r="C254">
            <v>3</v>
          </cell>
          <cell r="D254" t="str">
            <v>Cuff</v>
          </cell>
          <cell r="E254" t="str">
            <v>Top stitch Cuff 1/4"- Square</v>
          </cell>
          <cell r="F254" t="str">
            <v>M</v>
          </cell>
          <cell r="G254" t="str">
            <v>1N2TLS-UBT</v>
          </cell>
          <cell r="H254">
            <v>0.48</v>
          </cell>
          <cell r="I254">
            <v>125</v>
          </cell>
          <cell r="J254" t="str">
            <v>5/16" CR</v>
          </cell>
        </row>
        <row r="255">
          <cell r="A255">
            <v>251</v>
          </cell>
          <cell r="B255" t="str">
            <v>Mens</v>
          </cell>
          <cell r="C255">
            <v>3</v>
          </cell>
          <cell r="D255" t="str">
            <v>Cuff</v>
          </cell>
          <cell r="E255" t="str">
            <v>Btn Hole Cuff  x2</v>
          </cell>
          <cell r="F255" t="str">
            <v>M</v>
          </cell>
          <cell r="G255" t="str">
            <v>1N2T-BH</v>
          </cell>
          <cell r="H255">
            <v>0.3</v>
          </cell>
          <cell r="I255">
            <v>200</v>
          </cell>
        </row>
        <row r="256">
          <cell r="A256">
            <v>252</v>
          </cell>
          <cell r="B256" t="str">
            <v>Mens</v>
          </cell>
          <cell r="C256">
            <v>3</v>
          </cell>
          <cell r="D256" t="str">
            <v>Cuff</v>
          </cell>
          <cell r="E256" t="str">
            <v>Btn Hole Cuff  x4</v>
          </cell>
          <cell r="F256" t="str">
            <v>M</v>
          </cell>
          <cell r="G256" t="str">
            <v>1N2T-BH</v>
          </cell>
          <cell r="H256">
            <v>0.4</v>
          </cell>
          <cell r="I256">
            <v>150</v>
          </cell>
        </row>
        <row r="257">
          <cell r="A257">
            <v>253</v>
          </cell>
          <cell r="B257" t="str">
            <v>Mens</v>
          </cell>
          <cell r="C257">
            <v>3</v>
          </cell>
          <cell r="D257" t="str">
            <v>Cuff</v>
          </cell>
          <cell r="E257" t="str">
            <v>Button Attach  x2</v>
          </cell>
          <cell r="F257" t="str">
            <v>M</v>
          </cell>
          <cell r="G257" t="str">
            <v>1N2TLS-BA</v>
          </cell>
          <cell r="H257">
            <v>0.22</v>
          </cell>
          <cell r="I257">
            <v>272.72727272727275</v>
          </cell>
        </row>
        <row r="258">
          <cell r="A258">
            <v>254</v>
          </cell>
          <cell r="B258" t="str">
            <v>Mens</v>
          </cell>
          <cell r="C258">
            <v>3</v>
          </cell>
          <cell r="D258" t="str">
            <v>Cuff</v>
          </cell>
          <cell r="E258" t="str">
            <v>Button Attach  x4</v>
          </cell>
          <cell r="F258" t="str">
            <v>M</v>
          </cell>
          <cell r="G258" t="str">
            <v>1N2TLS-BA</v>
          </cell>
          <cell r="H258">
            <v>0.32</v>
          </cell>
          <cell r="I258">
            <v>187.5</v>
          </cell>
        </row>
        <row r="259">
          <cell r="A259">
            <v>255</v>
          </cell>
          <cell r="B259" t="str">
            <v>Mens</v>
          </cell>
          <cell r="C259">
            <v>3</v>
          </cell>
          <cell r="D259" t="str">
            <v>Cuff</v>
          </cell>
          <cell r="E259" t="str">
            <v>Mark Cuff for attach</v>
          </cell>
          <cell r="F259" t="str">
            <v>H</v>
          </cell>
          <cell r="G259" t="str">
            <v>Plain Table</v>
          </cell>
          <cell r="H259">
            <v>0.3</v>
          </cell>
          <cell r="I259">
            <v>200</v>
          </cell>
          <cell r="J259" t="str">
            <v>pattarn</v>
          </cell>
        </row>
        <row r="260">
          <cell r="A260">
            <v>256</v>
          </cell>
          <cell r="B260" t="str">
            <v>Mens</v>
          </cell>
          <cell r="C260">
            <v>3</v>
          </cell>
          <cell r="D260" t="str">
            <v>Cuff</v>
          </cell>
          <cell r="E260" t="str">
            <v>Attach lillig to cuff</v>
          </cell>
          <cell r="F260" t="str">
            <v>M</v>
          </cell>
          <cell r="G260" t="str">
            <v>1N2TLS-UBT</v>
          </cell>
          <cell r="H260">
            <v>0.3</v>
          </cell>
          <cell r="I260">
            <v>200</v>
          </cell>
        </row>
        <row r="261">
          <cell r="A261">
            <v>257</v>
          </cell>
          <cell r="B261" t="str">
            <v>Mens</v>
          </cell>
          <cell r="C261">
            <v>3</v>
          </cell>
          <cell r="D261" t="str">
            <v>Cuff</v>
          </cell>
          <cell r="E261" t="str">
            <v>Press cuff hem</v>
          </cell>
          <cell r="F261" t="str">
            <v>I</v>
          </cell>
          <cell r="G261" t="str">
            <v>Iron Table</v>
          </cell>
          <cell r="H261">
            <v>0.4</v>
          </cell>
          <cell r="I261">
            <v>150</v>
          </cell>
        </row>
        <row r="262">
          <cell r="A262">
            <v>258</v>
          </cell>
          <cell r="B262" t="str">
            <v>Mens</v>
          </cell>
          <cell r="C262">
            <v>3</v>
          </cell>
          <cell r="D262" t="str">
            <v>Cuff</v>
          </cell>
          <cell r="E262" t="str">
            <v>Mark cuff for make</v>
          </cell>
          <cell r="F262" t="str">
            <v>H</v>
          </cell>
          <cell r="G262" t="str">
            <v>Plain Table</v>
          </cell>
          <cell r="H262">
            <v>0.4</v>
          </cell>
          <cell r="I262">
            <v>150</v>
          </cell>
        </row>
        <row r="263">
          <cell r="A263">
            <v>259</v>
          </cell>
          <cell r="B263" t="str">
            <v>Mens</v>
          </cell>
          <cell r="C263">
            <v>3</v>
          </cell>
          <cell r="D263" t="str">
            <v>Cuff</v>
          </cell>
          <cell r="E263" t="str">
            <v xml:space="preserve">Hem Cuff </v>
          </cell>
          <cell r="F263" t="str">
            <v>M</v>
          </cell>
          <cell r="G263" t="str">
            <v>2N4TLSUBT</v>
          </cell>
          <cell r="H263">
            <v>0.43</v>
          </cell>
          <cell r="I263">
            <v>139.53488372093022</v>
          </cell>
        </row>
        <row r="264">
          <cell r="A264">
            <v>260</v>
          </cell>
          <cell r="B264" t="str">
            <v>Mens</v>
          </cell>
          <cell r="C264">
            <v>3</v>
          </cell>
          <cell r="D264" t="str">
            <v>Cuff</v>
          </cell>
          <cell r="E264" t="str">
            <v>Run Cuff ( 5 Point)</v>
          </cell>
          <cell r="F264" t="str">
            <v>M</v>
          </cell>
          <cell r="G264" t="str">
            <v>1N2TLS-UBT</v>
          </cell>
          <cell r="H264">
            <v>0.95</v>
          </cell>
          <cell r="I264">
            <v>63.15789473684211</v>
          </cell>
        </row>
        <row r="265">
          <cell r="A265">
            <v>261</v>
          </cell>
          <cell r="B265" t="str">
            <v>Mens</v>
          </cell>
          <cell r="C265">
            <v>3</v>
          </cell>
          <cell r="D265" t="str">
            <v>Cuff</v>
          </cell>
          <cell r="E265" t="str">
            <v>Top stitch Cuff 1/16" &amp; 1/4"</v>
          </cell>
          <cell r="F265" t="str">
            <v>M</v>
          </cell>
          <cell r="G265" t="str">
            <v>1N2TLS-UBT</v>
          </cell>
          <cell r="H265">
            <v>0.6</v>
          </cell>
          <cell r="I265">
            <v>100</v>
          </cell>
        </row>
        <row r="266">
          <cell r="A266">
            <v>262</v>
          </cell>
          <cell r="B266" t="str">
            <v>Mens</v>
          </cell>
          <cell r="C266">
            <v>3</v>
          </cell>
          <cell r="D266" t="str">
            <v>Cuff</v>
          </cell>
          <cell r="E266" t="str">
            <v>Trim &amp; Turn Cuff</v>
          </cell>
          <cell r="F266" t="str">
            <v>H</v>
          </cell>
          <cell r="G266" t="str">
            <v>Plain Table</v>
          </cell>
          <cell r="H266">
            <v>0.68</v>
          </cell>
          <cell r="I266">
            <v>88.235294117647058</v>
          </cell>
        </row>
        <row r="267">
          <cell r="A267">
            <v>263</v>
          </cell>
          <cell r="B267" t="str">
            <v>Mens</v>
          </cell>
          <cell r="C267">
            <v>3</v>
          </cell>
          <cell r="D267" t="str">
            <v>Cuff</v>
          </cell>
          <cell r="E267" t="str">
            <v>Tack cuff top &amp; bottom</v>
          </cell>
          <cell r="F267" t="str">
            <v>M</v>
          </cell>
          <cell r="G267" t="str">
            <v>1N2TLS-UBT</v>
          </cell>
          <cell r="H267">
            <v>0.43</v>
          </cell>
          <cell r="I267">
            <v>139.53488372093022</v>
          </cell>
        </row>
        <row r="268">
          <cell r="A268">
            <v>264</v>
          </cell>
          <cell r="B268" t="str">
            <v>Mens</v>
          </cell>
          <cell r="C268">
            <v>3</v>
          </cell>
          <cell r="D268" t="str">
            <v>Cuff</v>
          </cell>
          <cell r="E268" t="str">
            <v>Press cuff hem both side</v>
          </cell>
          <cell r="F268" t="str">
            <v>I</v>
          </cell>
          <cell r="G268" t="str">
            <v>Iron Table</v>
          </cell>
          <cell r="H268">
            <v>0.5</v>
          </cell>
          <cell r="I268">
            <v>120</v>
          </cell>
        </row>
        <row r="269">
          <cell r="A269">
            <v>265</v>
          </cell>
          <cell r="B269" t="str">
            <v>Mens</v>
          </cell>
          <cell r="C269">
            <v>3</v>
          </cell>
          <cell r="D269" t="str">
            <v>Cuff</v>
          </cell>
          <cell r="E269" t="str">
            <v xml:space="preserve">Make ,measure &amp; cut cuff loop </v>
          </cell>
          <cell r="F269" t="str">
            <v>M</v>
          </cell>
          <cell r="G269" t="str">
            <v>1N2TLS-UBT</v>
          </cell>
          <cell r="H269">
            <v>0.35</v>
          </cell>
          <cell r="I269">
            <v>171.42857142857144</v>
          </cell>
        </row>
        <row r="270">
          <cell r="A270">
            <v>266</v>
          </cell>
          <cell r="B270" t="str">
            <v>Mens</v>
          </cell>
          <cell r="C270">
            <v>3</v>
          </cell>
          <cell r="D270" t="str">
            <v>Cuff</v>
          </cell>
          <cell r="E270" t="str">
            <v>Attach loop at cuff</v>
          </cell>
          <cell r="F270" t="str">
            <v>M</v>
          </cell>
          <cell r="G270" t="str">
            <v>1N2TLS-UBT</v>
          </cell>
          <cell r="H270">
            <v>0.4</v>
          </cell>
          <cell r="I270">
            <v>150</v>
          </cell>
        </row>
        <row r="271">
          <cell r="A271">
            <v>267</v>
          </cell>
          <cell r="B271" t="str">
            <v>Mens</v>
          </cell>
          <cell r="C271">
            <v>3</v>
          </cell>
          <cell r="D271" t="str">
            <v>Cuff</v>
          </cell>
          <cell r="E271" t="str">
            <v>Make deco at cuff inner part</v>
          </cell>
          <cell r="F271" t="str">
            <v>M</v>
          </cell>
          <cell r="G271" t="str">
            <v>1N2TLS-UBT</v>
          </cell>
          <cell r="H271">
            <v>1</v>
          </cell>
          <cell r="I271">
            <v>60</v>
          </cell>
        </row>
        <row r="272">
          <cell r="A272">
            <v>268</v>
          </cell>
          <cell r="B272" t="str">
            <v>Mens</v>
          </cell>
          <cell r="C272">
            <v>3</v>
          </cell>
          <cell r="D272" t="str">
            <v>Cuff</v>
          </cell>
          <cell r="E272" t="str">
            <v>Mark cuff innner part for make deco</v>
          </cell>
          <cell r="F272" t="str">
            <v>M</v>
          </cell>
          <cell r="G272" t="str">
            <v>1N2TLS-UBT</v>
          </cell>
          <cell r="H272">
            <v>0.5</v>
          </cell>
          <cell r="I272">
            <v>120</v>
          </cell>
        </row>
        <row r="273">
          <cell r="A273">
            <v>269</v>
          </cell>
          <cell r="B273" t="str">
            <v>Mens</v>
          </cell>
          <cell r="C273">
            <v>3</v>
          </cell>
          <cell r="D273" t="str">
            <v>Cuff</v>
          </cell>
        </row>
        <row r="274">
          <cell r="A274">
            <v>270</v>
          </cell>
          <cell r="B274" t="str">
            <v>Mens</v>
          </cell>
          <cell r="C274">
            <v>3</v>
          </cell>
          <cell r="D274" t="str">
            <v>Cuff</v>
          </cell>
        </row>
        <row r="275">
          <cell r="A275">
            <v>271</v>
          </cell>
          <cell r="B275" t="str">
            <v>Mens</v>
          </cell>
          <cell r="C275">
            <v>3</v>
          </cell>
          <cell r="D275" t="str">
            <v>Cuff</v>
          </cell>
        </row>
        <row r="276">
          <cell r="A276">
            <v>272</v>
          </cell>
          <cell r="B276" t="str">
            <v>Mens</v>
          </cell>
          <cell r="C276">
            <v>3</v>
          </cell>
          <cell r="D276" t="str">
            <v>Cuff</v>
          </cell>
        </row>
        <row r="277">
          <cell r="A277">
            <v>273</v>
          </cell>
          <cell r="B277" t="str">
            <v>Mens</v>
          </cell>
          <cell r="C277">
            <v>3</v>
          </cell>
          <cell r="D277" t="str">
            <v>Cuff</v>
          </cell>
        </row>
        <row r="278">
          <cell r="A278">
            <v>274</v>
          </cell>
          <cell r="B278" t="str">
            <v>Mens</v>
          </cell>
          <cell r="C278">
            <v>3</v>
          </cell>
          <cell r="D278" t="str">
            <v>Cuff</v>
          </cell>
        </row>
        <row r="279">
          <cell r="A279">
            <v>275</v>
          </cell>
          <cell r="B279" t="str">
            <v>Mens</v>
          </cell>
          <cell r="C279">
            <v>3</v>
          </cell>
          <cell r="D279" t="str">
            <v>Cuff</v>
          </cell>
        </row>
        <row r="280">
          <cell r="A280">
            <v>276</v>
          </cell>
          <cell r="B280" t="str">
            <v>Mens</v>
          </cell>
          <cell r="C280">
            <v>3</v>
          </cell>
          <cell r="D280" t="str">
            <v>Cuff</v>
          </cell>
        </row>
        <row r="281">
          <cell r="A281">
            <v>277</v>
          </cell>
          <cell r="B281" t="str">
            <v>Mens</v>
          </cell>
          <cell r="C281">
            <v>3</v>
          </cell>
          <cell r="D281" t="str">
            <v>Cuff</v>
          </cell>
        </row>
        <row r="282">
          <cell r="A282">
            <v>278</v>
          </cell>
          <cell r="B282" t="str">
            <v>Mens</v>
          </cell>
          <cell r="C282">
            <v>3</v>
          </cell>
          <cell r="D282" t="str">
            <v>Cuff</v>
          </cell>
        </row>
        <row r="283">
          <cell r="A283">
            <v>279</v>
          </cell>
          <cell r="B283" t="str">
            <v>Mens</v>
          </cell>
          <cell r="C283">
            <v>3</v>
          </cell>
          <cell r="D283" t="str">
            <v>Cuff</v>
          </cell>
        </row>
        <row r="284">
          <cell r="A284">
            <v>280</v>
          </cell>
          <cell r="B284" t="str">
            <v>Mens</v>
          </cell>
          <cell r="C284">
            <v>3</v>
          </cell>
          <cell r="D284" t="str">
            <v>Cuff</v>
          </cell>
        </row>
        <row r="285">
          <cell r="A285">
            <v>281</v>
          </cell>
          <cell r="B285" t="str">
            <v>Mens</v>
          </cell>
          <cell r="C285">
            <v>3</v>
          </cell>
          <cell r="D285" t="str">
            <v>Cuff</v>
          </cell>
        </row>
        <row r="286">
          <cell r="A286">
            <v>282</v>
          </cell>
          <cell r="B286" t="str">
            <v>Mens</v>
          </cell>
          <cell r="C286">
            <v>3</v>
          </cell>
          <cell r="D286" t="str">
            <v>Cuff</v>
          </cell>
        </row>
        <row r="287">
          <cell r="A287">
            <v>283</v>
          </cell>
          <cell r="B287" t="str">
            <v>Mens</v>
          </cell>
          <cell r="C287">
            <v>3</v>
          </cell>
          <cell r="D287" t="str">
            <v>Cuff</v>
          </cell>
        </row>
        <row r="288">
          <cell r="A288">
            <v>284</v>
          </cell>
          <cell r="B288" t="str">
            <v>Mens</v>
          </cell>
          <cell r="C288">
            <v>3</v>
          </cell>
          <cell r="D288" t="str">
            <v>Cuff</v>
          </cell>
        </row>
        <row r="289">
          <cell r="A289">
            <v>285</v>
          </cell>
          <cell r="B289" t="str">
            <v>Mens</v>
          </cell>
          <cell r="C289">
            <v>3</v>
          </cell>
          <cell r="D289" t="str">
            <v>Cuff</v>
          </cell>
        </row>
        <row r="290">
          <cell r="A290">
            <v>286</v>
          </cell>
          <cell r="B290" t="str">
            <v>Mens</v>
          </cell>
          <cell r="C290">
            <v>3</v>
          </cell>
          <cell r="D290" t="str">
            <v>Cuff</v>
          </cell>
        </row>
        <row r="291">
          <cell r="A291">
            <v>287</v>
          </cell>
          <cell r="B291" t="str">
            <v>Mens</v>
          </cell>
          <cell r="C291">
            <v>3</v>
          </cell>
          <cell r="D291" t="str">
            <v>Cuff</v>
          </cell>
        </row>
        <row r="292">
          <cell r="A292">
            <v>288</v>
          </cell>
          <cell r="B292" t="str">
            <v>Mens</v>
          </cell>
          <cell r="C292">
            <v>3</v>
          </cell>
          <cell r="D292" t="str">
            <v>Cuff</v>
          </cell>
        </row>
        <row r="293">
          <cell r="A293">
            <v>289</v>
          </cell>
          <cell r="B293" t="str">
            <v>Mens</v>
          </cell>
          <cell r="C293">
            <v>3</v>
          </cell>
          <cell r="D293" t="str">
            <v>Cuff</v>
          </cell>
        </row>
        <row r="294">
          <cell r="A294">
            <v>290</v>
          </cell>
          <cell r="B294" t="str">
            <v>Mens</v>
          </cell>
          <cell r="C294">
            <v>3</v>
          </cell>
          <cell r="D294" t="str">
            <v>Cuff</v>
          </cell>
        </row>
        <row r="295">
          <cell r="A295">
            <v>291</v>
          </cell>
          <cell r="B295" t="str">
            <v>Mens</v>
          </cell>
          <cell r="C295">
            <v>3</v>
          </cell>
          <cell r="D295" t="str">
            <v>Cuff</v>
          </cell>
        </row>
        <row r="296">
          <cell r="A296">
            <v>292</v>
          </cell>
          <cell r="B296" t="str">
            <v>Mens</v>
          </cell>
          <cell r="C296">
            <v>3</v>
          </cell>
          <cell r="D296" t="str">
            <v>Cuff</v>
          </cell>
        </row>
        <row r="297">
          <cell r="A297">
            <v>293</v>
          </cell>
          <cell r="B297" t="str">
            <v>Mens</v>
          </cell>
          <cell r="C297">
            <v>3</v>
          </cell>
          <cell r="D297" t="str">
            <v>Cuff</v>
          </cell>
        </row>
        <row r="298">
          <cell r="A298">
            <v>294</v>
          </cell>
          <cell r="B298" t="str">
            <v>Mens</v>
          </cell>
          <cell r="C298">
            <v>3</v>
          </cell>
          <cell r="D298" t="str">
            <v>Cuff</v>
          </cell>
        </row>
        <row r="299">
          <cell r="A299">
            <v>295</v>
          </cell>
          <cell r="B299" t="str">
            <v>Mens</v>
          </cell>
          <cell r="C299">
            <v>3</v>
          </cell>
          <cell r="D299" t="str">
            <v>Cuff</v>
          </cell>
        </row>
        <row r="300">
          <cell r="A300">
            <v>296</v>
          </cell>
          <cell r="B300" t="str">
            <v>Mens</v>
          </cell>
          <cell r="C300">
            <v>3</v>
          </cell>
          <cell r="D300" t="str">
            <v>Cuff</v>
          </cell>
        </row>
        <row r="301">
          <cell r="A301">
            <v>297</v>
          </cell>
          <cell r="B301" t="str">
            <v>Mens</v>
          </cell>
          <cell r="C301">
            <v>3</v>
          </cell>
          <cell r="D301" t="str">
            <v>Cuff</v>
          </cell>
        </row>
        <row r="302">
          <cell r="A302">
            <v>298</v>
          </cell>
          <cell r="B302" t="str">
            <v>Mens</v>
          </cell>
          <cell r="C302">
            <v>3</v>
          </cell>
          <cell r="D302" t="str">
            <v>Cuff</v>
          </cell>
        </row>
        <row r="303">
          <cell r="A303">
            <v>299</v>
          </cell>
          <cell r="B303" t="str">
            <v>Mens</v>
          </cell>
          <cell r="C303">
            <v>3</v>
          </cell>
          <cell r="D303" t="str">
            <v>Cuff</v>
          </cell>
        </row>
        <row r="304">
          <cell r="A304">
            <v>300</v>
          </cell>
          <cell r="B304" t="str">
            <v>Mens</v>
          </cell>
          <cell r="C304">
            <v>3</v>
          </cell>
          <cell r="D304" t="str">
            <v>Cuff</v>
          </cell>
        </row>
        <row r="305">
          <cell r="A305">
            <v>301</v>
          </cell>
          <cell r="B305" t="str">
            <v>Mens</v>
          </cell>
          <cell r="C305">
            <v>3</v>
          </cell>
          <cell r="D305" t="str">
            <v>Cuff</v>
          </cell>
        </row>
        <row r="306">
          <cell r="A306">
            <v>302</v>
          </cell>
          <cell r="B306" t="str">
            <v>Mens</v>
          </cell>
          <cell r="C306">
            <v>3</v>
          </cell>
          <cell r="D306" t="str">
            <v>Cuff</v>
          </cell>
        </row>
        <row r="307">
          <cell r="A307">
            <v>303</v>
          </cell>
          <cell r="B307" t="str">
            <v>Mens</v>
          </cell>
          <cell r="C307">
            <v>3</v>
          </cell>
          <cell r="D307" t="str">
            <v>Cuff</v>
          </cell>
        </row>
        <row r="308">
          <cell r="A308">
            <v>304</v>
          </cell>
          <cell r="B308" t="str">
            <v>Mens</v>
          </cell>
          <cell r="C308">
            <v>3</v>
          </cell>
          <cell r="D308" t="str">
            <v>Cuff</v>
          </cell>
        </row>
        <row r="309">
          <cell r="A309">
            <v>305</v>
          </cell>
          <cell r="B309" t="str">
            <v>Mens</v>
          </cell>
          <cell r="C309">
            <v>3</v>
          </cell>
          <cell r="D309" t="str">
            <v>Cuff</v>
          </cell>
        </row>
        <row r="310">
          <cell r="A310">
            <v>306</v>
          </cell>
          <cell r="B310" t="str">
            <v>Mens</v>
          </cell>
          <cell r="C310">
            <v>3</v>
          </cell>
          <cell r="D310" t="str">
            <v>Cuff</v>
          </cell>
        </row>
        <row r="311">
          <cell r="A311">
            <v>307</v>
          </cell>
          <cell r="B311" t="str">
            <v>Mens</v>
          </cell>
          <cell r="C311">
            <v>3</v>
          </cell>
          <cell r="D311" t="str">
            <v>Cuff</v>
          </cell>
        </row>
        <row r="312">
          <cell r="A312">
            <v>308</v>
          </cell>
          <cell r="B312" t="str">
            <v>Mens</v>
          </cell>
          <cell r="C312">
            <v>3</v>
          </cell>
          <cell r="D312" t="str">
            <v>Cuff</v>
          </cell>
        </row>
        <row r="313">
          <cell r="A313">
            <v>309</v>
          </cell>
          <cell r="B313" t="str">
            <v>Mens</v>
          </cell>
          <cell r="C313">
            <v>3</v>
          </cell>
          <cell r="D313" t="str">
            <v>Cuff</v>
          </cell>
        </row>
        <row r="314">
          <cell r="A314">
            <v>310</v>
          </cell>
          <cell r="B314" t="str">
            <v>Mens</v>
          </cell>
          <cell r="C314">
            <v>3</v>
          </cell>
          <cell r="D314" t="str">
            <v>Cuff</v>
          </cell>
        </row>
        <row r="315">
          <cell r="A315">
            <v>311</v>
          </cell>
          <cell r="B315" t="str">
            <v>Mens</v>
          </cell>
          <cell r="C315">
            <v>3</v>
          </cell>
          <cell r="D315" t="str">
            <v>Cuff</v>
          </cell>
        </row>
        <row r="316">
          <cell r="A316">
            <v>312</v>
          </cell>
          <cell r="B316" t="str">
            <v>Mens</v>
          </cell>
          <cell r="C316">
            <v>3</v>
          </cell>
          <cell r="D316" t="str">
            <v>Cuff</v>
          </cell>
        </row>
        <row r="317">
          <cell r="A317">
            <v>313</v>
          </cell>
          <cell r="B317" t="str">
            <v>Mens</v>
          </cell>
          <cell r="C317">
            <v>3</v>
          </cell>
          <cell r="D317" t="str">
            <v>Cuff</v>
          </cell>
        </row>
        <row r="318">
          <cell r="A318">
            <v>314</v>
          </cell>
          <cell r="B318" t="str">
            <v>Mens</v>
          </cell>
          <cell r="C318">
            <v>3</v>
          </cell>
          <cell r="D318" t="str">
            <v>Cuff</v>
          </cell>
        </row>
        <row r="319">
          <cell r="A319">
            <v>315</v>
          </cell>
          <cell r="B319" t="str">
            <v>Mens</v>
          </cell>
          <cell r="C319">
            <v>3</v>
          </cell>
          <cell r="D319" t="str">
            <v>Cuff</v>
          </cell>
        </row>
        <row r="320">
          <cell r="A320">
            <v>316</v>
          </cell>
          <cell r="B320" t="str">
            <v>Mens</v>
          </cell>
          <cell r="C320">
            <v>3</v>
          </cell>
          <cell r="D320" t="str">
            <v>Cuff</v>
          </cell>
        </row>
        <row r="321">
          <cell r="A321">
            <v>317</v>
          </cell>
          <cell r="B321" t="str">
            <v>Mens</v>
          </cell>
          <cell r="C321">
            <v>3</v>
          </cell>
          <cell r="D321" t="str">
            <v>Cuff</v>
          </cell>
        </row>
        <row r="322">
          <cell r="A322">
            <v>318</v>
          </cell>
          <cell r="B322" t="str">
            <v>Mens</v>
          </cell>
          <cell r="C322">
            <v>3</v>
          </cell>
          <cell r="D322" t="str">
            <v>Cuff</v>
          </cell>
        </row>
        <row r="323">
          <cell r="A323">
            <v>319</v>
          </cell>
          <cell r="B323" t="str">
            <v>Mens</v>
          </cell>
          <cell r="C323">
            <v>3</v>
          </cell>
          <cell r="D323" t="str">
            <v>Cuff</v>
          </cell>
        </row>
        <row r="324">
          <cell r="A324">
            <v>320</v>
          </cell>
          <cell r="B324" t="str">
            <v>Mens</v>
          </cell>
          <cell r="C324">
            <v>3</v>
          </cell>
          <cell r="D324" t="str">
            <v>Cuff</v>
          </cell>
        </row>
        <row r="325">
          <cell r="A325">
            <v>321</v>
          </cell>
          <cell r="B325" t="str">
            <v>Mens</v>
          </cell>
          <cell r="C325">
            <v>3</v>
          </cell>
          <cell r="D325" t="str">
            <v>Cuff</v>
          </cell>
        </row>
        <row r="326">
          <cell r="A326">
            <v>322</v>
          </cell>
          <cell r="B326" t="str">
            <v>Mens</v>
          </cell>
          <cell r="C326">
            <v>3</v>
          </cell>
          <cell r="D326" t="str">
            <v>Cuff</v>
          </cell>
        </row>
        <row r="327">
          <cell r="A327">
            <v>323</v>
          </cell>
          <cell r="B327" t="str">
            <v>Mens</v>
          </cell>
          <cell r="C327">
            <v>3</v>
          </cell>
          <cell r="D327" t="str">
            <v>Cuff</v>
          </cell>
        </row>
        <row r="328">
          <cell r="A328">
            <v>324</v>
          </cell>
          <cell r="B328" t="str">
            <v>Mens</v>
          </cell>
          <cell r="C328">
            <v>3</v>
          </cell>
          <cell r="D328" t="str">
            <v>Cuff</v>
          </cell>
        </row>
        <row r="329">
          <cell r="A329">
            <v>325</v>
          </cell>
          <cell r="B329" t="str">
            <v>Mens</v>
          </cell>
          <cell r="C329">
            <v>3</v>
          </cell>
          <cell r="D329" t="str">
            <v>Under part</v>
          </cell>
          <cell r="E329" t="str">
            <v>Press under hole facing x 4</v>
          </cell>
          <cell r="F329" t="str">
            <v>I</v>
          </cell>
          <cell r="G329" t="str">
            <v>Iron Table</v>
          </cell>
          <cell r="H329">
            <v>0.23</v>
          </cell>
          <cell r="I329">
            <v>260.86956521739131</v>
          </cell>
        </row>
        <row r="330">
          <cell r="A330">
            <v>326</v>
          </cell>
          <cell r="B330" t="str">
            <v>Mens</v>
          </cell>
          <cell r="C330">
            <v>3</v>
          </cell>
          <cell r="D330" t="str">
            <v>Under part</v>
          </cell>
          <cell r="E330" t="str">
            <v>Make under hole facing</v>
          </cell>
          <cell r="F330" t="str">
            <v>M</v>
          </cell>
          <cell r="G330" t="str">
            <v>2N4TLSUBT</v>
          </cell>
          <cell r="H330">
            <v>0.35</v>
          </cell>
          <cell r="I330">
            <v>171.42857142857144</v>
          </cell>
        </row>
        <row r="331">
          <cell r="A331">
            <v>327</v>
          </cell>
          <cell r="B331" t="str">
            <v>Mens</v>
          </cell>
          <cell r="C331">
            <v>3</v>
          </cell>
          <cell r="D331" t="str">
            <v>Under part</v>
          </cell>
          <cell r="E331" t="str">
            <v>Make hole under facing x 9</v>
          </cell>
          <cell r="F331" t="str">
            <v>M</v>
          </cell>
          <cell r="G331" t="str">
            <v>1N2T-BH</v>
          </cell>
          <cell r="H331">
            <v>0.72</v>
          </cell>
          <cell r="I331">
            <v>83.333333333333343</v>
          </cell>
        </row>
        <row r="332">
          <cell r="A332">
            <v>328</v>
          </cell>
          <cell r="B332" t="str">
            <v>Mens</v>
          </cell>
          <cell r="C332">
            <v>3</v>
          </cell>
          <cell r="D332" t="str">
            <v>Under part</v>
          </cell>
          <cell r="E332" t="str">
            <v>measure cut &amp; fold hole facing</v>
          </cell>
          <cell r="F332" t="str">
            <v>H</v>
          </cell>
          <cell r="G332" t="str">
            <v>Plain Table</v>
          </cell>
          <cell r="H332">
            <v>0.4</v>
          </cell>
          <cell r="I332">
            <v>150</v>
          </cell>
        </row>
        <row r="333">
          <cell r="A333">
            <v>329</v>
          </cell>
          <cell r="B333" t="str">
            <v>Mens</v>
          </cell>
          <cell r="C333">
            <v>3</v>
          </cell>
          <cell r="D333" t="str">
            <v>Under part</v>
          </cell>
          <cell r="E333" t="str">
            <v xml:space="preserve">Attach under two part at side </v>
          </cell>
          <cell r="F333" t="str">
            <v>M</v>
          </cell>
          <cell r="G333" t="str">
            <v>2N5TOL</v>
          </cell>
          <cell r="H333">
            <v>0.5</v>
          </cell>
          <cell r="I333">
            <v>120</v>
          </cell>
        </row>
        <row r="334">
          <cell r="A334">
            <v>330</v>
          </cell>
          <cell r="B334" t="str">
            <v>Mens</v>
          </cell>
          <cell r="C334">
            <v>3</v>
          </cell>
          <cell r="D334" t="str">
            <v>Under part</v>
          </cell>
          <cell r="E334" t="str">
            <v>Tack care label at under part</v>
          </cell>
          <cell r="F334" t="str">
            <v>M</v>
          </cell>
          <cell r="G334" t="str">
            <v>1N2TLS-UBT</v>
          </cell>
          <cell r="H334">
            <v>0.4</v>
          </cell>
          <cell r="I334">
            <v>150</v>
          </cell>
        </row>
        <row r="335">
          <cell r="A335">
            <v>331</v>
          </cell>
          <cell r="B335" t="str">
            <v>Mens</v>
          </cell>
          <cell r="C335">
            <v>3</v>
          </cell>
          <cell r="D335" t="str">
            <v>Under part</v>
          </cell>
          <cell r="E335" t="str">
            <v>Bottom hem under part</v>
          </cell>
          <cell r="F335" t="str">
            <v>M</v>
          </cell>
          <cell r="G335" t="str">
            <v>2N4TFL-UBT</v>
          </cell>
          <cell r="H335">
            <v>0.5</v>
          </cell>
          <cell r="I335">
            <v>120</v>
          </cell>
        </row>
        <row r="336">
          <cell r="A336">
            <v>332</v>
          </cell>
          <cell r="B336" t="str">
            <v>Mens</v>
          </cell>
          <cell r="C336">
            <v>3</v>
          </cell>
          <cell r="D336" t="str">
            <v>Under part</v>
          </cell>
          <cell r="E336" t="str">
            <v>Trims &amp; check under part</v>
          </cell>
          <cell r="F336" t="str">
            <v>H</v>
          </cell>
          <cell r="G336" t="str">
            <v>Plain Table</v>
          </cell>
          <cell r="H336">
            <v>0.4</v>
          </cell>
          <cell r="I336">
            <v>150</v>
          </cell>
        </row>
        <row r="337">
          <cell r="A337">
            <v>333</v>
          </cell>
          <cell r="B337" t="str">
            <v>Mens</v>
          </cell>
          <cell r="C337">
            <v>3</v>
          </cell>
          <cell r="D337" t="str">
            <v>Flap</v>
          </cell>
          <cell r="E337" t="str">
            <v>Attach lilling to flap (Solid)</v>
          </cell>
          <cell r="F337" t="str">
            <v>I</v>
          </cell>
          <cell r="G337" t="str">
            <v>Iron Table</v>
          </cell>
          <cell r="H337">
            <v>0.23</v>
          </cell>
          <cell r="I337">
            <v>260.86956521739131</v>
          </cell>
        </row>
        <row r="338">
          <cell r="A338">
            <v>334</v>
          </cell>
          <cell r="B338" t="str">
            <v>Mens</v>
          </cell>
          <cell r="C338">
            <v>3</v>
          </cell>
          <cell r="D338" t="str">
            <v>Flap</v>
          </cell>
          <cell r="E338" t="str">
            <v>Attach lilling to cuff (Check)</v>
          </cell>
          <cell r="F338" t="str">
            <v>I</v>
          </cell>
          <cell r="G338" t="str">
            <v>Iron Table</v>
          </cell>
          <cell r="H338">
            <v>0.4</v>
          </cell>
          <cell r="I338">
            <v>150</v>
          </cell>
        </row>
        <row r="339">
          <cell r="A339">
            <v>335</v>
          </cell>
          <cell r="B339" t="str">
            <v>Mens</v>
          </cell>
          <cell r="C339">
            <v>4</v>
          </cell>
          <cell r="D339" t="str">
            <v>Flap</v>
          </cell>
          <cell r="E339" t="str">
            <v xml:space="preserve">Mark flap &amp; Arrange </v>
          </cell>
          <cell r="F339" t="str">
            <v>H</v>
          </cell>
          <cell r="G339" t="str">
            <v>Plain Table</v>
          </cell>
          <cell r="H339">
            <v>0.65</v>
          </cell>
          <cell r="I339">
            <v>92.307692307692307</v>
          </cell>
        </row>
        <row r="340">
          <cell r="A340">
            <v>336</v>
          </cell>
          <cell r="B340" t="str">
            <v>Mens</v>
          </cell>
          <cell r="C340">
            <v>4</v>
          </cell>
          <cell r="D340" t="str">
            <v>Flap</v>
          </cell>
          <cell r="E340" t="str">
            <v>Arrange Flap for JIG</v>
          </cell>
          <cell r="F340" t="str">
            <v>H</v>
          </cell>
          <cell r="G340" t="str">
            <v>Plain Table</v>
          </cell>
          <cell r="H340">
            <v>0.2</v>
          </cell>
          <cell r="I340">
            <v>300</v>
          </cell>
        </row>
        <row r="341">
          <cell r="A341">
            <v>337</v>
          </cell>
          <cell r="B341" t="str">
            <v>Mens</v>
          </cell>
          <cell r="C341">
            <v>4</v>
          </cell>
          <cell r="D341" t="str">
            <v>Flap</v>
          </cell>
          <cell r="E341" t="str">
            <v>Iron Flap for TS</v>
          </cell>
          <cell r="F341" t="str">
            <v>I</v>
          </cell>
          <cell r="G341" t="str">
            <v>Iron Table</v>
          </cell>
          <cell r="H341">
            <v>0.87</v>
          </cell>
          <cell r="I341">
            <v>68.965517241379317</v>
          </cell>
        </row>
        <row r="342">
          <cell r="A342">
            <v>338</v>
          </cell>
          <cell r="B342" t="str">
            <v>Mens</v>
          </cell>
          <cell r="C342">
            <v>4</v>
          </cell>
          <cell r="D342" t="str">
            <v>Flap</v>
          </cell>
          <cell r="E342" t="str">
            <v xml:space="preserve">Flap make </v>
          </cell>
          <cell r="F342" t="str">
            <v>M</v>
          </cell>
          <cell r="G342" t="str">
            <v>1N2TLS-EC</v>
          </cell>
          <cell r="H342">
            <v>0.6</v>
          </cell>
          <cell r="I342">
            <v>100</v>
          </cell>
          <cell r="J342" t="str">
            <v>pattern</v>
          </cell>
        </row>
        <row r="343">
          <cell r="A343">
            <v>339</v>
          </cell>
          <cell r="B343" t="str">
            <v>Mens</v>
          </cell>
          <cell r="C343">
            <v>4</v>
          </cell>
          <cell r="D343" t="str">
            <v>Flap</v>
          </cell>
          <cell r="E343" t="str">
            <v xml:space="preserve">Flap make by Jig </v>
          </cell>
          <cell r="F343" t="str">
            <v>M</v>
          </cell>
          <cell r="G343" t="str">
            <v>1N2TLS-ECUBT</v>
          </cell>
          <cell r="H343">
            <v>0.35</v>
          </cell>
          <cell r="I343">
            <v>171.42857142857144</v>
          </cell>
        </row>
        <row r="344">
          <cell r="A344">
            <v>340</v>
          </cell>
          <cell r="B344" t="str">
            <v>Mens</v>
          </cell>
          <cell r="C344">
            <v>4</v>
          </cell>
          <cell r="D344" t="str">
            <v>Flap</v>
          </cell>
          <cell r="E344" t="str">
            <v>Trim Flap around</v>
          </cell>
          <cell r="F344" t="str">
            <v>M</v>
          </cell>
          <cell r="G344" t="str">
            <v>1N3TOL</v>
          </cell>
          <cell r="H344">
            <v>0.32</v>
          </cell>
          <cell r="I344">
            <v>187.5</v>
          </cell>
        </row>
        <row r="345">
          <cell r="A345">
            <v>341</v>
          </cell>
          <cell r="B345" t="str">
            <v>Mens</v>
          </cell>
          <cell r="C345">
            <v>4</v>
          </cell>
          <cell r="D345" t="str">
            <v>Flap</v>
          </cell>
          <cell r="E345" t="str">
            <v>Trim &amp; turn corners</v>
          </cell>
          <cell r="F345" t="str">
            <v>H</v>
          </cell>
          <cell r="G345" t="str">
            <v>Plain Table</v>
          </cell>
          <cell r="H345">
            <v>0.4</v>
          </cell>
          <cell r="I345">
            <v>150</v>
          </cell>
        </row>
        <row r="346">
          <cell r="A346">
            <v>342</v>
          </cell>
          <cell r="B346" t="str">
            <v>Mens</v>
          </cell>
          <cell r="C346">
            <v>4</v>
          </cell>
          <cell r="D346" t="str">
            <v>Flap</v>
          </cell>
          <cell r="E346" t="str">
            <v>Turn corners</v>
          </cell>
          <cell r="F346" t="str">
            <v>H</v>
          </cell>
          <cell r="G346" t="str">
            <v>Plain Table</v>
          </cell>
          <cell r="H346">
            <v>0.35</v>
          </cell>
          <cell r="I346">
            <v>171.42857142857144</v>
          </cell>
        </row>
        <row r="347">
          <cell r="A347">
            <v>343</v>
          </cell>
          <cell r="B347" t="str">
            <v>Mens</v>
          </cell>
          <cell r="C347">
            <v>4</v>
          </cell>
          <cell r="D347" t="str">
            <v>Flap</v>
          </cell>
          <cell r="E347" t="str">
            <v>Press Flap X 2</v>
          </cell>
          <cell r="F347" t="str">
            <v>M</v>
          </cell>
          <cell r="G347" t="str">
            <v>Cuff Press</v>
          </cell>
          <cell r="H347">
            <v>0.36</v>
          </cell>
          <cell r="I347">
            <v>166.66666666666669</v>
          </cell>
        </row>
        <row r="348">
          <cell r="A348">
            <v>344</v>
          </cell>
          <cell r="B348" t="str">
            <v>Mens</v>
          </cell>
          <cell r="C348">
            <v>4</v>
          </cell>
          <cell r="D348" t="str">
            <v>Flap</v>
          </cell>
          <cell r="E348" t="str">
            <v>T/stitch 1/16 " Flap</v>
          </cell>
          <cell r="F348" t="str">
            <v>M</v>
          </cell>
          <cell r="G348" t="str">
            <v>1N2TLS-UBT</v>
          </cell>
          <cell r="H348">
            <v>0.5</v>
          </cell>
          <cell r="I348">
            <v>120</v>
          </cell>
          <cell r="J348" t="str">
            <v>1/16" CR</v>
          </cell>
        </row>
        <row r="349">
          <cell r="A349">
            <v>345</v>
          </cell>
          <cell r="B349" t="str">
            <v>Mens</v>
          </cell>
          <cell r="C349">
            <v>4</v>
          </cell>
          <cell r="D349" t="str">
            <v>Flap</v>
          </cell>
          <cell r="E349" t="str">
            <v>Flap T/stitch 1/8 " After iron</v>
          </cell>
          <cell r="F349" t="str">
            <v>M</v>
          </cell>
          <cell r="G349" t="str">
            <v>1N2TLS-UBT</v>
          </cell>
          <cell r="H349">
            <v>0.57999999999999996</v>
          </cell>
          <cell r="I349">
            <v>103.44827586206897</v>
          </cell>
        </row>
        <row r="350">
          <cell r="A350">
            <v>346</v>
          </cell>
          <cell r="B350" t="str">
            <v>Mens</v>
          </cell>
          <cell r="C350">
            <v>4</v>
          </cell>
          <cell r="D350" t="str">
            <v>Flap</v>
          </cell>
          <cell r="E350" t="str">
            <v>T/stitch 1MM" Flap</v>
          </cell>
          <cell r="F350" t="str">
            <v>M</v>
          </cell>
          <cell r="G350" t="str">
            <v>1N2TLS-UBT</v>
          </cell>
          <cell r="H350">
            <v>0.4</v>
          </cell>
          <cell r="I350">
            <v>150</v>
          </cell>
          <cell r="J350" t="str">
            <v>1mm CR</v>
          </cell>
          <cell r="K350" t="str">
            <v>plain</v>
          </cell>
        </row>
        <row r="351">
          <cell r="A351">
            <v>347</v>
          </cell>
          <cell r="B351" t="str">
            <v>Mens</v>
          </cell>
          <cell r="C351">
            <v>4</v>
          </cell>
          <cell r="D351" t="str">
            <v>Flap</v>
          </cell>
          <cell r="E351" t="str">
            <v>T/stitch 1/4 " Flap</v>
          </cell>
          <cell r="F351" t="str">
            <v>M</v>
          </cell>
          <cell r="G351" t="str">
            <v>1N2TLS-UBT</v>
          </cell>
          <cell r="H351">
            <v>0.5</v>
          </cell>
          <cell r="I351">
            <v>120</v>
          </cell>
          <cell r="J351" t="str">
            <v>5/16"CR</v>
          </cell>
          <cell r="K351" t="str">
            <v>plain</v>
          </cell>
        </row>
        <row r="352">
          <cell r="A352">
            <v>348</v>
          </cell>
          <cell r="B352" t="str">
            <v>Mens</v>
          </cell>
          <cell r="C352">
            <v>4</v>
          </cell>
          <cell r="D352" t="str">
            <v>Flap</v>
          </cell>
          <cell r="E352" t="str">
            <v>Stay stitch  at flap btm</v>
          </cell>
          <cell r="F352" t="str">
            <v>M</v>
          </cell>
          <cell r="G352" t="str">
            <v>1N3TOL</v>
          </cell>
          <cell r="H352">
            <v>0.15</v>
          </cell>
          <cell r="I352">
            <v>400</v>
          </cell>
        </row>
        <row r="353">
          <cell r="A353">
            <v>349</v>
          </cell>
          <cell r="B353" t="str">
            <v>Mens</v>
          </cell>
          <cell r="C353">
            <v>4</v>
          </cell>
          <cell r="D353" t="str">
            <v>Flap</v>
          </cell>
          <cell r="E353" t="str">
            <v>Flap  Lable Attach x1</v>
          </cell>
          <cell r="F353" t="str">
            <v>M</v>
          </cell>
          <cell r="G353" t="str">
            <v>1N2TLS-UBT</v>
          </cell>
          <cell r="H353">
            <v>0.45</v>
          </cell>
          <cell r="I353">
            <v>133.33333333333334</v>
          </cell>
        </row>
        <row r="354">
          <cell r="A354">
            <v>350</v>
          </cell>
          <cell r="B354" t="str">
            <v>Mens</v>
          </cell>
          <cell r="C354">
            <v>4</v>
          </cell>
          <cell r="D354" t="str">
            <v>Flap</v>
          </cell>
          <cell r="E354" t="str">
            <v>Iron Flap For Attach</v>
          </cell>
          <cell r="F354" t="str">
            <v>I</v>
          </cell>
          <cell r="G354" t="str">
            <v>Iron Table</v>
          </cell>
          <cell r="H354">
            <v>0.4</v>
          </cell>
          <cell r="I354">
            <v>150</v>
          </cell>
        </row>
        <row r="355">
          <cell r="A355">
            <v>351</v>
          </cell>
          <cell r="B355" t="str">
            <v>Mens</v>
          </cell>
          <cell r="C355">
            <v>4</v>
          </cell>
          <cell r="D355" t="str">
            <v>Flap</v>
          </cell>
          <cell r="E355" t="str">
            <v>Flap Btn Hole x1</v>
          </cell>
          <cell r="F355" t="str">
            <v>M</v>
          </cell>
          <cell r="G355" t="str">
            <v>1N2T-BH</v>
          </cell>
          <cell r="H355">
            <v>0.15</v>
          </cell>
          <cell r="I355">
            <v>400</v>
          </cell>
        </row>
        <row r="356">
          <cell r="A356">
            <v>352</v>
          </cell>
          <cell r="B356" t="str">
            <v>Mens</v>
          </cell>
          <cell r="C356">
            <v>4</v>
          </cell>
          <cell r="D356" t="str">
            <v>Flap</v>
          </cell>
          <cell r="E356" t="str">
            <v>Mark &amp; trim flap for attach</v>
          </cell>
          <cell r="F356" t="str">
            <v>H</v>
          </cell>
          <cell r="G356" t="str">
            <v>Plain Table</v>
          </cell>
          <cell r="H356">
            <v>0.45</v>
          </cell>
          <cell r="I356">
            <v>133.33333333333334</v>
          </cell>
          <cell r="J356" t="str">
            <v>Secssor</v>
          </cell>
          <cell r="K356" t="str">
            <v>pattarn</v>
          </cell>
        </row>
        <row r="357">
          <cell r="A357">
            <v>353</v>
          </cell>
          <cell r="B357" t="str">
            <v>Mens</v>
          </cell>
          <cell r="C357">
            <v>4</v>
          </cell>
          <cell r="D357" t="str">
            <v>Flap</v>
          </cell>
          <cell r="E357" t="str">
            <v>Press Flap X 2</v>
          </cell>
          <cell r="F357" t="str">
            <v>I</v>
          </cell>
          <cell r="G357" t="str">
            <v>Iron Table</v>
          </cell>
          <cell r="H357">
            <v>0.5</v>
          </cell>
          <cell r="I357">
            <v>120</v>
          </cell>
        </row>
        <row r="358">
          <cell r="A358">
            <v>354</v>
          </cell>
          <cell r="B358" t="str">
            <v>Mens</v>
          </cell>
          <cell r="C358">
            <v>4</v>
          </cell>
          <cell r="D358" t="str">
            <v>Flap</v>
          </cell>
          <cell r="E358" t="str">
            <v>Attach velco with gauge x 2</v>
          </cell>
          <cell r="F358" t="str">
            <v>M</v>
          </cell>
          <cell r="G358" t="str">
            <v>1N2TLS-UBT</v>
          </cell>
          <cell r="H358">
            <v>0.75</v>
          </cell>
          <cell r="I358">
            <v>80</v>
          </cell>
        </row>
        <row r="359">
          <cell r="A359">
            <v>355</v>
          </cell>
          <cell r="B359" t="str">
            <v>Mens</v>
          </cell>
          <cell r="C359">
            <v>4</v>
          </cell>
          <cell r="D359" t="str">
            <v>Flap</v>
          </cell>
          <cell r="E359" t="str">
            <v>Cut Excess @ Flap Seam</v>
          </cell>
          <cell r="F359" t="str">
            <v>H</v>
          </cell>
          <cell r="G359" t="str">
            <v>Plain Table</v>
          </cell>
          <cell r="H359">
            <v>0.35</v>
          </cell>
          <cell r="I359">
            <v>171.42857142857144</v>
          </cell>
        </row>
        <row r="360">
          <cell r="A360">
            <v>356</v>
          </cell>
          <cell r="B360" t="str">
            <v>Mens</v>
          </cell>
          <cell r="C360">
            <v>4</v>
          </cell>
          <cell r="D360" t="str">
            <v>Flap</v>
          </cell>
          <cell r="I360" t="e">
            <v>#DIV/0!</v>
          </cell>
        </row>
        <row r="361">
          <cell r="A361">
            <v>357</v>
          </cell>
          <cell r="B361" t="str">
            <v>Mens</v>
          </cell>
          <cell r="C361">
            <v>4</v>
          </cell>
          <cell r="D361" t="str">
            <v>Flap</v>
          </cell>
          <cell r="I361" t="e">
            <v>#DIV/0!</v>
          </cell>
        </row>
        <row r="362">
          <cell r="A362">
            <v>358</v>
          </cell>
          <cell r="B362" t="str">
            <v>Mens</v>
          </cell>
          <cell r="C362">
            <v>4</v>
          </cell>
          <cell r="D362" t="str">
            <v>Flap</v>
          </cell>
          <cell r="I362" t="e">
            <v>#DIV/0!</v>
          </cell>
        </row>
        <row r="363">
          <cell r="A363">
            <v>359</v>
          </cell>
          <cell r="B363" t="str">
            <v>Mens</v>
          </cell>
          <cell r="C363">
            <v>4</v>
          </cell>
          <cell r="D363" t="str">
            <v>Flap</v>
          </cell>
          <cell r="I363" t="e">
            <v>#DIV/0!</v>
          </cell>
        </row>
        <row r="364">
          <cell r="A364">
            <v>360</v>
          </cell>
          <cell r="B364" t="str">
            <v>Mens</v>
          </cell>
          <cell r="C364">
            <v>4</v>
          </cell>
          <cell r="D364" t="str">
            <v>Flap</v>
          </cell>
        </row>
        <row r="365">
          <cell r="A365">
            <v>361</v>
          </cell>
          <cell r="B365" t="str">
            <v>Mens</v>
          </cell>
          <cell r="C365">
            <v>4</v>
          </cell>
          <cell r="D365" t="str">
            <v>Flap</v>
          </cell>
        </row>
        <row r="366">
          <cell r="A366">
            <v>362</v>
          </cell>
          <cell r="B366" t="str">
            <v>Mens</v>
          </cell>
          <cell r="C366">
            <v>4</v>
          </cell>
          <cell r="D366" t="str">
            <v>Flap</v>
          </cell>
        </row>
        <row r="367">
          <cell r="A367">
            <v>363</v>
          </cell>
          <cell r="B367" t="str">
            <v>Mens</v>
          </cell>
          <cell r="C367">
            <v>4</v>
          </cell>
          <cell r="D367" t="str">
            <v>Flap</v>
          </cell>
        </row>
        <row r="368">
          <cell r="A368">
            <v>364</v>
          </cell>
          <cell r="B368" t="str">
            <v>Mens</v>
          </cell>
          <cell r="C368">
            <v>4</v>
          </cell>
          <cell r="D368" t="str">
            <v>Flap</v>
          </cell>
        </row>
        <row r="369">
          <cell r="A369">
            <v>365</v>
          </cell>
          <cell r="B369" t="str">
            <v>Mens</v>
          </cell>
          <cell r="C369">
            <v>4</v>
          </cell>
          <cell r="D369" t="str">
            <v>Flap</v>
          </cell>
        </row>
        <row r="370">
          <cell r="A370">
            <v>366</v>
          </cell>
          <cell r="B370" t="str">
            <v>Mens</v>
          </cell>
          <cell r="C370">
            <v>4</v>
          </cell>
          <cell r="D370" t="str">
            <v>Flap</v>
          </cell>
        </row>
        <row r="371">
          <cell r="A371">
            <v>367</v>
          </cell>
          <cell r="B371" t="str">
            <v>Mens</v>
          </cell>
          <cell r="C371">
            <v>4</v>
          </cell>
          <cell r="D371" t="str">
            <v>Flap</v>
          </cell>
        </row>
        <row r="372">
          <cell r="A372">
            <v>368</v>
          </cell>
          <cell r="B372" t="str">
            <v>Mens</v>
          </cell>
          <cell r="C372">
            <v>4</v>
          </cell>
          <cell r="D372" t="str">
            <v>Flap</v>
          </cell>
        </row>
        <row r="373">
          <cell r="A373">
            <v>369</v>
          </cell>
          <cell r="B373" t="str">
            <v>Mens</v>
          </cell>
          <cell r="C373">
            <v>4</v>
          </cell>
          <cell r="D373" t="str">
            <v>Flap</v>
          </cell>
        </row>
        <row r="374">
          <cell r="A374">
            <v>370</v>
          </cell>
          <cell r="B374" t="str">
            <v>Mens</v>
          </cell>
          <cell r="C374">
            <v>4</v>
          </cell>
          <cell r="D374" t="str">
            <v>Flap</v>
          </cell>
        </row>
        <row r="375">
          <cell r="A375">
            <v>371</v>
          </cell>
          <cell r="B375" t="str">
            <v>Mens</v>
          </cell>
          <cell r="C375">
            <v>4</v>
          </cell>
          <cell r="D375" t="str">
            <v>Flap</v>
          </cell>
        </row>
        <row r="376">
          <cell r="A376">
            <v>372</v>
          </cell>
          <cell r="B376" t="str">
            <v>Mens</v>
          </cell>
          <cell r="C376">
            <v>4</v>
          </cell>
          <cell r="D376" t="str">
            <v>Flap</v>
          </cell>
        </row>
        <row r="377">
          <cell r="A377">
            <v>373</v>
          </cell>
          <cell r="B377" t="str">
            <v>Mens</v>
          </cell>
          <cell r="C377">
            <v>4</v>
          </cell>
          <cell r="D377" t="str">
            <v>Flap</v>
          </cell>
        </row>
        <row r="378">
          <cell r="A378">
            <v>374</v>
          </cell>
          <cell r="B378" t="str">
            <v>Mens</v>
          </cell>
          <cell r="C378">
            <v>4</v>
          </cell>
          <cell r="D378" t="str">
            <v>Flap</v>
          </cell>
        </row>
        <row r="379">
          <cell r="A379">
            <v>375</v>
          </cell>
          <cell r="B379" t="str">
            <v>Mens</v>
          </cell>
          <cell r="C379">
            <v>4</v>
          </cell>
          <cell r="D379" t="str">
            <v>Flap</v>
          </cell>
        </row>
        <row r="380">
          <cell r="A380">
            <v>376</v>
          </cell>
          <cell r="B380" t="str">
            <v>Mens</v>
          </cell>
          <cell r="C380">
            <v>4</v>
          </cell>
          <cell r="D380" t="str">
            <v>Flap</v>
          </cell>
        </row>
        <row r="381">
          <cell r="A381">
            <v>377</v>
          </cell>
          <cell r="B381" t="str">
            <v>Mens</v>
          </cell>
          <cell r="C381">
            <v>4</v>
          </cell>
          <cell r="D381" t="str">
            <v>Flap</v>
          </cell>
        </row>
        <row r="382">
          <cell r="A382">
            <v>378</v>
          </cell>
          <cell r="B382" t="str">
            <v>Mens</v>
          </cell>
          <cell r="C382">
            <v>4</v>
          </cell>
          <cell r="D382" t="str">
            <v>Flap</v>
          </cell>
        </row>
        <row r="383">
          <cell r="A383">
            <v>379</v>
          </cell>
          <cell r="B383" t="str">
            <v>Mens</v>
          </cell>
          <cell r="C383">
            <v>4</v>
          </cell>
          <cell r="D383" t="str">
            <v>Flap</v>
          </cell>
        </row>
        <row r="384">
          <cell r="A384">
            <v>380</v>
          </cell>
          <cell r="B384" t="str">
            <v>Mens</v>
          </cell>
          <cell r="C384">
            <v>4</v>
          </cell>
          <cell r="D384" t="str">
            <v>Flap</v>
          </cell>
        </row>
        <row r="385">
          <cell r="A385">
            <v>381</v>
          </cell>
          <cell r="B385" t="str">
            <v>Mens</v>
          </cell>
          <cell r="C385">
            <v>4</v>
          </cell>
          <cell r="D385" t="str">
            <v>Flap</v>
          </cell>
        </row>
        <row r="386">
          <cell r="A386">
            <v>382</v>
          </cell>
          <cell r="B386" t="str">
            <v>Mens</v>
          </cell>
          <cell r="C386">
            <v>4</v>
          </cell>
          <cell r="D386" t="str">
            <v>Flap</v>
          </cell>
        </row>
        <row r="387">
          <cell r="A387">
            <v>383</v>
          </cell>
          <cell r="B387" t="str">
            <v>Mens</v>
          </cell>
          <cell r="C387">
            <v>4</v>
          </cell>
          <cell r="D387" t="str">
            <v>Flap</v>
          </cell>
        </row>
        <row r="388">
          <cell r="A388">
            <v>384</v>
          </cell>
          <cell r="B388" t="str">
            <v>Mens</v>
          </cell>
          <cell r="C388">
            <v>4</v>
          </cell>
          <cell r="D388" t="str">
            <v>Flap</v>
          </cell>
        </row>
        <row r="389">
          <cell r="A389">
            <v>385</v>
          </cell>
          <cell r="B389" t="str">
            <v>Mens</v>
          </cell>
          <cell r="C389">
            <v>4</v>
          </cell>
          <cell r="D389" t="str">
            <v>Flap</v>
          </cell>
        </row>
        <row r="390">
          <cell r="A390">
            <v>386</v>
          </cell>
          <cell r="B390" t="str">
            <v>Mens</v>
          </cell>
          <cell r="C390">
            <v>4</v>
          </cell>
          <cell r="D390" t="str">
            <v>Flap</v>
          </cell>
          <cell r="I390" t="e">
            <v>#DIV/0!</v>
          </cell>
        </row>
        <row r="391">
          <cell r="A391">
            <v>387</v>
          </cell>
          <cell r="B391" t="str">
            <v>Mens</v>
          </cell>
          <cell r="C391">
            <v>4</v>
          </cell>
          <cell r="D391" t="str">
            <v>Flap</v>
          </cell>
        </row>
        <row r="392">
          <cell r="A392">
            <v>388</v>
          </cell>
          <cell r="B392" t="str">
            <v>Mens</v>
          </cell>
          <cell r="C392">
            <v>4</v>
          </cell>
          <cell r="D392" t="str">
            <v>Flap</v>
          </cell>
        </row>
        <row r="393">
          <cell r="A393">
            <v>389</v>
          </cell>
          <cell r="B393" t="str">
            <v>Mens</v>
          </cell>
          <cell r="C393">
            <v>4</v>
          </cell>
          <cell r="D393" t="str">
            <v>Flap</v>
          </cell>
        </row>
        <row r="394">
          <cell r="A394">
            <v>390</v>
          </cell>
          <cell r="B394" t="str">
            <v>Mens</v>
          </cell>
          <cell r="C394">
            <v>4</v>
          </cell>
          <cell r="D394" t="str">
            <v>Flap</v>
          </cell>
        </row>
        <row r="395">
          <cell r="A395">
            <v>391</v>
          </cell>
          <cell r="B395" t="str">
            <v>Mens</v>
          </cell>
          <cell r="C395">
            <v>4</v>
          </cell>
          <cell r="D395" t="str">
            <v>Flap</v>
          </cell>
        </row>
        <row r="396">
          <cell r="A396">
            <v>392</v>
          </cell>
          <cell r="B396" t="str">
            <v>Mens</v>
          </cell>
          <cell r="C396">
            <v>4</v>
          </cell>
          <cell r="D396" t="str">
            <v>Flap</v>
          </cell>
          <cell r="I396" t="e">
            <v>#DIV/0!</v>
          </cell>
        </row>
        <row r="397">
          <cell r="A397">
            <v>393</v>
          </cell>
          <cell r="B397" t="str">
            <v>Mens</v>
          </cell>
          <cell r="C397">
            <v>4</v>
          </cell>
          <cell r="D397" t="str">
            <v>Flap</v>
          </cell>
          <cell r="I397" t="e">
            <v>#DIV/0!</v>
          </cell>
        </row>
        <row r="398">
          <cell r="A398">
            <v>394</v>
          </cell>
          <cell r="B398" t="str">
            <v>Mens</v>
          </cell>
          <cell r="C398">
            <v>4</v>
          </cell>
          <cell r="D398" t="str">
            <v>Flap</v>
          </cell>
          <cell r="I398" t="e">
            <v>#DIV/0!</v>
          </cell>
        </row>
        <row r="399">
          <cell r="A399">
            <v>395</v>
          </cell>
          <cell r="B399" t="str">
            <v>Mens</v>
          </cell>
          <cell r="C399">
            <v>4</v>
          </cell>
          <cell r="D399" t="str">
            <v>Flap</v>
          </cell>
          <cell r="I399" t="e">
            <v>#DIV/0!</v>
          </cell>
        </row>
        <row r="400">
          <cell r="A400">
            <v>396</v>
          </cell>
          <cell r="B400" t="str">
            <v>Mens</v>
          </cell>
          <cell r="C400">
            <v>4</v>
          </cell>
          <cell r="D400" t="str">
            <v>Flap</v>
          </cell>
          <cell r="I400" t="e">
            <v>#DIV/0!</v>
          </cell>
        </row>
        <row r="401">
          <cell r="A401">
            <v>397</v>
          </cell>
          <cell r="B401" t="str">
            <v>Mens</v>
          </cell>
          <cell r="C401">
            <v>4</v>
          </cell>
          <cell r="D401" t="str">
            <v>Flap</v>
          </cell>
          <cell r="I401" t="e">
            <v>#DIV/0!</v>
          </cell>
        </row>
        <row r="402">
          <cell r="A402">
            <v>398</v>
          </cell>
          <cell r="B402" t="str">
            <v>Mens</v>
          </cell>
          <cell r="C402">
            <v>5</v>
          </cell>
          <cell r="D402" t="str">
            <v>Pocket</v>
          </cell>
          <cell r="E402" t="str">
            <v>attach liling to pocket</v>
          </cell>
          <cell r="F402" t="str">
            <v>I</v>
          </cell>
          <cell r="G402" t="str">
            <v>Iron Table</v>
          </cell>
          <cell r="H402">
            <v>0.5</v>
          </cell>
          <cell r="I402">
            <v>120</v>
          </cell>
        </row>
        <row r="403">
          <cell r="A403">
            <v>399</v>
          </cell>
          <cell r="B403" t="str">
            <v>Mens</v>
          </cell>
          <cell r="C403">
            <v>5</v>
          </cell>
          <cell r="D403" t="str">
            <v>Pocket</v>
          </cell>
          <cell r="E403" t="str">
            <v>Mark pkt for Deco Stitch</v>
          </cell>
          <cell r="I403" t="e">
            <v>#DIV/0!</v>
          </cell>
        </row>
        <row r="404">
          <cell r="A404">
            <v>400</v>
          </cell>
          <cell r="B404" t="str">
            <v>Mens</v>
          </cell>
          <cell r="C404">
            <v>5</v>
          </cell>
          <cell r="D404" t="str">
            <v>Pocket</v>
          </cell>
          <cell r="E404" t="str">
            <v>Mark Pkt at front with edge trim</v>
          </cell>
          <cell r="F404" t="str">
            <v>H</v>
          </cell>
          <cell r="G404" t="str">
            <v>Plain Table</v>
          </cell>
          <cell r="H404">
            <v>0.43</v>
          </cell>
          <cell r="I404">
            <v>139.53488372093022</v>
          </cell>
        </row>
        <row r="405">
          <cell r="A405">
            <v>401</v>
          </cell>
          <cell r="B405" t="str">
            <v>Mens</v>
          </cell>
          <cell r="C405">
            <v>5</v>
          </cell>
          <cell r="D405" t="str">
            <v>Pocket</v>
          </cell>
          <cell r="E405" t="str">
            <v>Deco stitch pocket x1</v>
          </cell>
          <cell r="F405" t="str">
            <v>M</v>
          </cell>
          <cell r="G405" t="str">
            <v>1N2TLS-UBT</v>
          </cell>
          <cell r="H405">
            <v>0.25</v>
          </cell>
          <cell r="I405">
            <v>240</v>
          </cell>
        </row>
        <row r="406">
          <cell r="A406">
            <v>402</v>
          </cell>
          <cell r="B406" t="str">
            <v>Mens</v>
          </cell>
          <cell r="C406">
            <v>5</v>
          </cell>
          <cell r="D406" t="str">
            <v>Pocket</v>
          </cell>
          <cell r="E406" t="str">
            <v>Pkt Hem OL with Lining</v>
          </cell>
          <cell r="F406" t="str">
            <v>M</v>
          </cell>
          <cell r="G406" t="str">
            <v>1N3TOL</v>
          </cell>
          <cell r="H406">
            <v>0.23</v>
          </cell>
          <cell r="I406">
            <v>260.86956521739131</v>
          </cell>
        </row>
        <row r="407">
          <cell r="A407">
            <v>403</v>
          </cell>
          <cell r="B407" t="str">
            <v>Mens</v>
          </cell>
          <cell r="C407">
            <v>5</v>
          </cell>
          <cell r="D407" t="str">
            <v>Pocket</v>
          </cell>
          <cell r="E407" t="str">
            <v>Iron Pkt Hem</v>
          </cell>
          <cell r="F407" t="str">
            <v>I</v>
          </cell>
          <cell r="G407" t="str">
            <v>Iron Table</v>
          </cell>
          <cell r="H407">
            <v>0.3</v>
          </cell>
          <cell r="I407">
            <v>200</v>
          </cell>
        </row>
        <row r="408">
          <cell r="A408">
            <v>404</v>
          </cell>
          <cell r="B408" t="str">
            <v>Mens</v>
          </cell>
          <cell r="C408">
            <v>5</v>
          </cell>
          <cell r="D408" t="str">
            <v>Pocket</v>
          </cell>
          <cell r="E408" t="str">
            <v>Pkt hem  - Match x 2</v>
          </cell>
          <cell r="F408" t="str">
            <v>M</v>
          </cell>
          <cell r="G408" t="str">
            <v>1N2TLS-UBT</v>
          </cell>
          <cell r="H408">
            <v>0.4</v>
          </cell>
          <cell r="I408">
            <v>150</v>
          </cell>
        </row>
        <row r="409">
          <cell r="A409">
            <v>405</v>
          </cell>
          <cell r="B409" t="str">
            <v>Mens</v>
          </cell>
          <cell r="C409">
            <v>5</v>
          </cell>
          <cell r="D409" t="str">
            <v>Pocket</v>
          </cell>
          <cell r="E409" t="str">
            <v>Pkt hem  x 1</v>
          </cell>
          <cell r="F409" t="str">
            <v>M</v>
          </cell>
          <cell r="G409" t="str">
            <v>1N2TLS-UBT</v>
          </cell>
          <cell r="H409">
            <v>0.2</v>
          </cell>
          <cell r="I409">
            <v>300</v>
          </cell>
          <cell r="J409" t="str">
            <v>plain</v>
          </cell>
          <cell r="K409" t="str">
            <v>plain</v>
          </cell>
        </row>
        <row r="410">
          <cell r="A410">
            <v>406</v>
          </cell>
          <cell r="B410" t="str">
            <v>Mens</v>
          </cell>
          <cell r="C410">
            <v>5</v>
          </cell>
          <cell r="D410" t="str">
            <v>Pocket</v>
          </cell>
          <cell r="E410" t="str">
            <v>Pkt hem x 2</v>
          </cell>
          <cell r="F410" t="str">
            <v>M</v>
          </cell>
          <cell r="G410" t="str">
            <v>2N4TLSUBT</v>
          </cell>
          <cell r="H410">
            <v>0.4</v>
          </cell>
          <cell r="I410">
            <v>150</v>
          </cell>
          <cell r="K410" t="str">
            <v>5mm</v>
          </cell>
        </row>
        <row r="411">
          <cell r="A411">
            <v>407</v>
          </cell>
          <cell r="B411" t="str">
            <v>Mens</v>
          </cell>
          <cell r="C411">
            <v>5</v>
          </cell>
          <cell r="D411" t="str">
            <v>Pocket</v>
          </cell>
          <cell r="E411" t="str">
            <v>Turn Corners &amp; Press</v>
          </cell>
          <cell r="F411" t="str">
            <v>I</v>
          </cell>
          <cell r="G411" t="str">
            <v>Iron Table</v>
          </cell>
          <cell r="H411">
            <v>0.25</v>
          </cell>
          <cell r="I411">
            <v>240</v>
          </cell>
        </row>
        <row r="412">
          <cell r="A412">
            <v>408</v>
          </cell>
          <cell r="B412" t="str">
            <v>Mens</v>
          </cell>
          <cell r="C412">
            <v>5</v>
          </cell>
          <cell r="D412" t="str">
            <v>Pocket</v>
          </cell>
          <cell r="E412" t="str">
            <v xml:space="preserve">Creasr pkt by iron with hem x 2 </v>
          </cell>
          <cell r="F412" t="str">
            <v>I</v>
          </cell>
          <cell r="G412" t="str">
            <v>Iron Table</v>
          </cell>
          <cell r="H412">
            <v>0.8</v>
          </cell>
          <cell r="I412">
            <v>75</v>
          </cell>
        </row>
        <row r="413">
          <cell r="A413">
            <v>409</v>
          </cell>
          <cell r="B413" t="str">
            <v>Mens</v>
          </cell>
          <cell r="C413">
            <v>5</v>
          </cell>
          <cell r="D413" t="str">
            <v>Pocket</v>
          </cell>
          <cell r="E413" t="str">
            <v>Creasr pkt  x 1</v>
          </cell>
          <cell r="F413" t="str">
            <v>I</v>
          </cell>
          <cell r="G413" t="str">
            <v>Pocket Creaser</v>
          </cell>
          <cell r="H413">
            <v>0.3</v>
          </cell>
          <cell r="I413">
            <v>200</v>
          </cell>
          <cell r="J413" t="str">
            <v>Pattern</v>
          </cell>
        </row>
        <row r="414">
          <cell r="A414">
            <v>410</v>
          </cell>
          <cell r="B414" t="str">
            <v>Mens</v>
          </cell>
          <cell r="C414">
            <v>5</v>
          </cell>
          <cell r="D414" t="str">
            <v>Pocket</v>
          </cell>
          <cell r="E414" t="str">
            <v>Trim Pkt round edge</v>
          </cell>
          <cell r="F414" t="str">
            <v>H</v>
          </cell>
          <cell r="G414" t="str">
            <v>Plain Table</v>
          </cell>
          <cell r="H414">
            <v>0.3</v>
          </cell>
          <cell r="I414">
            <v>200</v>
          </cell>
          <cell r="J414" t="str">
            <v>Secssor</v>
          </cell>
        </row>
        <row r="415">
          <cell r="A415">
            <v>411</v>
          </cell>
          <cell r="B415" t="str">
            <v>Mens</v>
          </cell>
          <cell r="C415">
            <v>5</v>
          </cell>
          <cell r="D415" t="str">
            <v>Pocket</v>
          </cell>
          <cell r="E415" t="str">
            <v>Make Hole on pocket x 1</v>
          </cell>
          <cell r="F415" t="str">
            <v>M</v>
          </cell>
          <cell r="G415" t="str">
            <v>1N2T-BH</v>
          </cell>
          <cell r="H415">
            <v>0.2</v>
          </cell>
          <cell r="I415">
            <v>300</v>
          </cell>
        </row>
        <row r="416">
          <cell r="A416">
            <v>412</v>
          </cell>
          <cell r="B416" t="str">
            <v>Mens</v>
          </cell>
          <cell r="C416">
            <v>5</v>
          </cell>
          <cell r="D416" t="str">
            <v>Pocket</v>
          </cell>
          <cell r="E416" t="str">
            <v>Btn Hole @ pocket x2</v>
          </cell>
          <cell r="F416" t="str">
            <v>M</v>
          </cell>
          <cell r="G416" t="str">
            <v>1N2T-BH</v>
          </cell>
          <cell r="H416">
            <v>0.25</v>
          </cell>
          <cell r="I416">
            <v>240</v>
          </cell>
        </row>
        <row r="417">
          <cell r="A417">
            <v>413</v>
          </cell>
          <cell r="B417" t="str">
            <v>Mens</v>
          </cell>
          <cell r="C417">
            <v>5</v>
          </cell>
          <cell r="D417" t="str">
            <v>Pocket</v>
          </cell>
          <cell r="E417" t="str">
            <v>Press pocket patch</v>
          </cell>
          <cell r="F417" t="str">
            <v>I</v>
          </cell>
          <cell r="G417" t="str">
            <v>Iron Table</v>
          </cell>
          <cell r="H417">
            <v>0.3</v>
          </cell>
          <cell r="I417">
            <v>200</v>
          </cell>
        </row>
        <row r="418">
          <cell r="A418">
            <v>414</v>
          </cell>
          <cell r="B418" t="str">
            <v>Mens</v>
          </cell>
          <cell r="C418">
            <v>5</v>
          </cell>
          <cell r="D418" t="str">
            <v>Pocket</v>
          </cell>
          <cell r="E418" t="str">
            <v>Attach pocket with topstitch</v>
          </cell>
          <cell r="F418" t="str">
            <v>M</v>
          </cell>
          <cell r="G418" t="str">
            <v>1N2TLS-UBT</v>
          </cell>
          <cell r="H418">
            <v>1.1000000000000001</v>
          </cell>
          <cell r="I418">
            <v>54.54545454545454</v>
          </cell>
        </row>
        <row r="419">
          <cell r="A419">
            <v>415</v>
          </cell>
          <cell r="B419" t="str">
            <v>Mens</v>
          </cell>
          <cell r="C419">
            <v>5</v>
          </cell>
          <cell r="D419" t="str">
            <v>Pocket</v>
          </cell>
          <cell r="E419" t="str">
            <v>Overlock pocket facing</v>
          </cell>
          <cell r="F419" t="str">
            <v>M</v>
          </cell>
          <cell r="G419" t="str">
            <v>1N3TOL</v>
          </cell>
          <cell r="H419">
            <v>0.2</v>
          </cell>
          <cell r="I419">
            <v>300</v>
          </cell>
        </row>
        <row r="420">
          <cell r="A420">
            <v>416</v>
          </cell>
          <cell r="B420" t="str">
            <v>Mens</v>
          </cell>
          <cell r="C420">
            <v>5</v>
          </cell>
          <cell r="D420" t="str">
            <v>Pocket</v>
          </cell>
          <cell r="E420" t="str">
            <v>Make pocket bon x 4</v>
          </cell>
          <cell r="F420" t="str">
            <v>M</v>
          </cell>
          <cell r="G420" t="str">
            <v>1N2TLS-UBT</v>
          </cell>
          <cell r="H420">
            <v>0.4</v>
          </cell>
          <cell r="I420">
            <v>150</v>
          </cell>
        </row>
        <row r="421">
          <cell r="A421">
            <v>417</v>
          </cell>
          <cell r="B421" t="str">
            <v>Mens</v>
          </cell>
          <cell r="C421">
            <v>5</v>
          </cell>
          <cell r="D421" t="str">
            <v>Pocket</v>
          </cell>
          <cell r="E421" t="str">
            <v>Attach front pocket bon</v>
          </cell>
          <cell r="F421" t="str">
            <v>M</v>
          </cell>
          <cell r="G421" t="str">
            <v>1N2TLS-UBT</v>
          </cell>
          <cell r="H421">
            <v>0.8</v>
          </cell>
          <cell r="I421">
            <v>75</v>
          </cell>
        </row>
        <row r="422">
          <cell r="A422">
            <v>418</v>
          </cell>
          <cell r="B422" t="str">
            <v>Mens</v>
          </cell>
          <cell r="C422">
            <v>5</v>
          </cell>
          <cell r="D422" t="str">
            <v>Pocket</v>
          </cell>
          <cell r="E422" t="str">
            <v xml:space="preserve">Tack facing to front part  inner </v>
          </cell>
          <cell r="F422" t="str">
            <v>M</v>
          </cell>
          <cell r="G422" t="str">
            <v>1N2TLS-UBT</v>
          </cell>
          <cell r="H422">
            <v>0.33</v>
          </cell>
          <cell r="I422">
            <v>181.81818181818181</v>
          </cell>
        </row>
        <row r="423">
          <cell r="A423">
            <v>419</v>
          </cell>
          <cell r="B423" t="str">
            <v>Mens</v>
          </cell>
          <cell r="C423">
            <v>5</v>
          </cell>
          <cell r="D423" t="str">
            <v>Pocket</v>
          </cell>
          <cell r="E423" t="str">
            <v>Tack loop before attach bon</v>
          </cell>
          <cell r="F423" t="str">
            <v>M</v>
          </cell>
          <cell r="G423" t="str">
            <v>1N2TLS-UBT</v>
          </cell>
          <cell r="H423">
            <v>0.35</v>
          </cell>
          <cell r="I423">
            <v>171.42857142857144</v>
          </cell>
        </row>
        <row r="424">
          <cell r="A424">
            <v>420</v>
          </cell>
          <cell r="B424" t="str">
            <v>Mens</v>
          </cell>
          <cell r="C424">
            <v>5</v>
          </cell>
          <cell r="D424" t="str">
            <v>Pocket</v>
          </cell>
          <cell r="E424" t="str">
            <v>Trims bon pocket opening</v>
          </cell>
          <cell r="F424" t="str">
            <v>H</v>
          </cell>
          <cell r="G424" t="str">
            <v>Plain Table</v>
          </cell>
          <cell r="H424">
            <v>0.6</v>
          </cell>
          <cell r="I424">
            <v>100</v>
          </cell>
        </row>
        <row r="425">
          <cell r="A425">
            <v>421</v>
          </cell>
          <cell r="B425" t="str">
            <v>Mens</v>
          </cell>
          <cell r="C425">
            <v>5</v>
          </cell>
          <cell r="D425" t="str">
            <v>Pocket</v>
          </cell>
          <cell r="E425" t="str">
            <v>Fold &amp; tack pocket opening two side</v>
          </cell>
          <cell r="F425" t="str">
            <v>M</v>
          </cell>
          <cell r="G425" t="str">
            <v>1N2TLS-UBT</v>
          </cell>
          <cell r="H425">
            <v>0.43</v>
          </cell>
          <cell r="I425">
            <v>139.53488372093022</v>
          </cell>
        </row>
        <row r="426">
          <cell r="A426">
            <v>422</v>
          </cell>
          <cell r="B426" t="str">
            <v>Mens</v>
          </cell>
          <cell r="C426">
            <v>5</v>
          </cell>
          <cell r="D426" t="str">
            <v>Pocket</v>
          </cell>
          <cell r="E426" t="str">
            <v>Topstitch lower bon</v>
          </cell>
          <cell r="F426" t="str">
            <v>M</v>
          </cell>
          <cell r="G426" t="str">
            <v>1N2TLS-UBT</v>
          </cell>
          <cell r="H426">
            <v>0.6</v>
          </cell>
          <cell r="I426">
            <v>100</v>
          </cell>
        </row>
        <row r="427">
          <cell r="A427">
            <v>423</v>
          </cell>
          <cell r="B427" t="str">
            <v>Mens</v>
          </cell>
          <cell r="C427">
            <v>5</v>
          </cell>
          <cell r="D427" t="str">
            <v>Pocket</v>
          </cell>
          <cell r="E427" t="str">
            <v>Topstitch upper bon with pocketing</v>
          </cell>
          <cell r="F427" t="str">
            <v>M</v>
          </cell>
          <cell r="G427" t="str">
            <v>1N2TLS-UBT</v>
          </cell>
          <cell r="H427">
            <v>0.6</v>
          </cell>
          <cell r="I427">
            <v>100</v>
          </cell>
        </row>
        <row r="428">
          <cell r="A428">
            <v>424</v>
          </cell>
          <cell r="B428" t="str">
            <v>Mens</v>
          </cell>
          <cell r="C428">
            <v>5</v>
          </cell>
          <cell r="D428" t="str">
            <v>Pocket</v>
          </cell>
          <cell r="E428" t="str">
            <v>Close front bon pocketing</v>
          </cell>
          <cell r="F428" t="str">
            <v>M</v>
          </cell>
          <cell r="G428" t="str">
            <v>1N3TOL</v>
          </cell>
          <cell r="H428">
            <v>0.38</v>
          </cell>
          <cell r="I428">
            <v>157.89473684210526</v>
          </cell>
        </row>
        <row r="429">
          <cell r="A429">
            <v>425</v>
          </cell>
          <cell r="B429" t="str">
            <v>Mens</v>
          </cell>
          <cell r="C429">
            <v>5</v>
          </cell>
          <cell r="D429" t="str">
            <v>Pocket</v>
          </cell>
          <cell r="E429" t="str">
            <v>Savety stitch at bon pocketing</v>
          </cell>
          <cell r="F429" t="str">
            <v>M</v>
          </cell>
          <cell r="G429" t="str">
            <v>1N2TLS-UBT</v>
          </cell>
          <cell r="H429">
            <v>0.41</v>
          </cell>
          <cell r="I429">
            <v>146.34146341463415</v>
          </cell>
        </row>
        <row r="430">
          <cell r="A430">
            <v>426</v>
          </cell>
          <cell r="B430" t="str">
            <v>Mens</v>
          </cell>
          <cell r="C430">
            <v>5</v>
          </cell>
          <cell r="D430" t="str">
            <v>Pocket</v>
          </cell>
          <cell r="E430" t="str">
            <v>Make pocket dart x1</v>
          </cell>
          <cell r="F430" t="str">
            <v>M</v>
          </cell>
          <cell r="G430" t="str">
            <v>1N2TLS-UBT</v>
          </cell>
          <cell r="H430">
            <v>0.41</v>
          </cell>
          <cell r="I430">
            <v>146.34146341463415</v>
          </cell>
          <cell r="J430" t="str">
            <v>plain</v>
          </cell>
          <cell r="K430" t="str">
            <v>plain</v>
          </cell>
        </row>
        <row r="431">
          <cell r="A431">
            <v>427</v>
          </cell>
          <cell r="B431" t="str">
            <v>Mens</v>
          </cell>
          <cell r="C431">
            <v>5</v>
          </cell>
          <cell r="D431" t="str">
            <v>Pocket</v>
          </cell>
          <cell r="E431" t="str">
            <v>Iron Pkt dart</v>
          </cell>
          <cell r="F431" t="str">
            <v>I</v>
          </cell>
          <cell r="G431" t="str">
            <v>Iron Table</v>
          </cell>
          <cell r="H431">
            <v>0.4</v>
          </cell>
          <cell r="I431">
            <v>150</v>
          </cell>
          <cell r="J431" t="str">
            <v>pattern</v>
          </cell>
        </row>
        <row r="432">
          <cell r="A432">
            <v>428</v>
          </cell>
          <cell r="B432" t="str">
            <v>Mens</v>
          </cell>
          <cell r="C432">
            <v>5</v>
          </cell>
          <cell r="D432" t="str">
            <v>Pocket</v>
          </cell>
          <cell r="E432" t="str">
            <v>Attach front pocket tape</v>
          </cell>
          <cell r="F432" t="str">
            <v>M</v>
          </cell>
          <cell r="G432" t="str">
            <v>1N2TLS-UBT</v>
          </cell>
          <cell r="H432">
            <v>0.45</v>
          </cell>
          <cell r="I432">
            <v>133.33333333333334</v>
          </cell>
        </row>
        <row r="433">
          <cell r="A433">
            <v>429</v>
          </cell>
          <cell r="B433" t="str">
            <v>Mens</v>
          </cell>
          <cell r="C433">
            <v>5</v>
          </cell>
          <cell r="D433" t="str">
            <v>Pocket</v>
          </cell>
          <cell r="E433" t="str">
            <v>Attach velco with gauge x 2</v>
          </cell>
          <cell r="F433" t="str">
            <v>M</v>
          </cell>
          <cell r="G433" t="str">
            <v>1N2TLS-UBT</v>
          </cell>
          <cell r="H433">
            <v>0.85</v>
          </cell>
          <cell r="I433">
            <v>70.588235294117652</v>
          </cell>
        </row>
        <row r="434">
          <cell r="A434">
            <v>430</v>
          </cell>
          <cell r="B434" t="str">
            <v>Mens</v>
          </cell>
          <cell r="C434">
            <v>5</v>
          </cell>
          <cell r="D434" t="str">
            <v>Pocket</v>
          </cell>
          <cell r="E434" t="str">
            <v>Pkt hem  x 2</v>
          </cell>
          <cell r="F434" t="str">
            <v>M</v>
          </cell>
          <cell r="G434" t="str">
            <v>1N2TLS-UBT</v>
          </cell>
          <cell r="H434">
            <v>0.4</v>
          </cell>
          <cell r="I434">
            <v>150</v>
          </cell>
          <cell r="L434" t="str">
            <v>check</v>
          </cell>
        </row>
        <row r="435">
          <cell r="A435">
            <v>431</v>
          </cell>
          <cell r="B435" t="str">
            <v>Mens</v>
          </cell>
          <cell r="C435">
            <v>5</v>
          </cell>
          <cell r="D435" t="str">
            <v>Pocket</v>
          </cell>
        </row>
        <row r="436">
          <cell r="A436">
            <v>432</v>
          </cell>
          <cell r="B436" t="str">
            <v>Mens</v>
          </cell>
          <cell r="C436">
            <v>5</v>
          </cell>
          <cell r="D436" t="str">
            <v>Pocket</v>
          </cell>
        </row>
        <row r="437">
          <cell r="A437">
            <v>433</v>
          </cell>
          <cell r="B437" t="str">
            <v>Mens</v>
          </cell>
          <cell r="C437">
            <v>5</v>
          </cell>
          <cell r="D437" t="str">
            <v>Pocket</v>
          </cell>
        </row>
        <row r="438">
          <cell r="A438">
            <v>434</v>
          </cell>
          <cell r="B438" t="str">
            <v>Mens</v>
          </cell>
          <cell r="C438">
            <v>5</v>
          </cell>
          <cell r="D438" t="str">
            <v>Pocket</v>
          </cell>
        </row>
        <row r="439">
          <cell r="A439">
            <v>435</v>
          </cell>
          <cell r="B439" t="str">
            <v>Mens</v>
          </cell>
          <cell r="C439">
            <v>5</v>
          </cell>
          <cell r="D439" t="str">
            <v>Pocket</v>
          </cell>
        </row>
        <row r="440">
          <cell r="A440">
            <v>436</v>
          </cell>
          <cell r="B440" t="str">
            <v>Mens</v>
          </cell>
          <cell r="C440">
            <v>5</v>
          </cell>
          <cell r="D440" t="str">
            <v>Pocket</v>
          </cell>
        </row>
        <row r="441">
          <cell r="A441">
            <v>437</v>
          </cell>
          <cell r="B441" t="str">
            <v>Mens</v>
          </cell>
          <cell r="C441">
            <v>5</v>
          </cell>
          <cell r="D441" t="str">
            <v>Pocket</v>
          </cell>
        </row>
        <row r="442">
          <cell r="A442">
            <v>438</v>
          </cell>
          <cell r="B442" t="str">
            <v>Mens</v>
          </cell>
          <cell r="C442">
            <v>5</v>
          </cell>
          <cell r="D442" t="str">
            <v>Pocket</v>
          </cell>
        </row>
        <row r="443">
          <cell r="A443">
            <v>439</v>
          </cell>
          <cell r="B443" t="str">
            <v>Mens</v>
          </cell>
          <cell r="C443">
            <v>5</v>
          </cell>
          <cell r="D443" t="str">
            <v>Pocket</v>
          </cell>
        </row>
        <row r="444">
          <cell r="A444">
            <v>440</v>
          </cell>
          <cell r="B444" t="str">
            <v>Mens</v>
          </cell>
          <cell r="C444">
            <v>5</v>
          </cell>
          <cell r="D444" t="str">
            <v>Pocket</v>
          </cell>
        </row>
        <row r="445">
          <cell r="A445">
            <v>441</v>
          </cell>
          <cell r="B445" t="str">
            <v>Mens</v>
          </cell>
          <cell r="C445">
            <v>5</v>
          </cell>
          <cell r="D445" t="str">
            <v>Pocket</v>
          </cell>
        </row>
        <row r="446">
          <cell r="A446">
            <v>442</v>
          </cell>
          <cell r="B446" t="str">
            <v>Mens</v>
          </cell>
          <cell r="C446">
            <v>5</v>
          </cell>
          <cell r="D446" t="str">
            <v>Pocket</v>
          </cell>
        </row>
        <row r="447">
          <cell r="A447">
            <v>443</v>
          </cell>
          <cell r="B447" t="str">
            <v>Mens</v>
          </cell>
          <cell r="C447">
            <v>5</v>
          </cell>
          <cell r="D447" t="str">
            <v>Pocket</v>
          </cell>
        </row>
        <row r="448">
          <cell r="A448">
            <v>444</v>
          </cell>
          <cell r="B448" t="str">
            <v>Mens</v>
          </cell>
          <cell r="C448">
            <v>5</v>
          </cell>
          <cell r="D448" t="str">
            <v>Pocket</v>
          </cell>
        </row>
        <row r="449">
          <cell r="A449">
            <v>445</v>
          </cell>
          <cell r="B449" t="str">
            <v>Mens</v>
          </cell>
          <cell r="C449">
            <v>5</v>
          </cell>
          <cell r="D449" t="str">
            <v>Pocket</v>
          </cell>
        </row>
        <row r="450">
          <cell r="A450">
            <v>446</v>
          </cell>
          <cell r="B450" t="str">
            <v>Mens</v>
          </cell>
          <cell r="C450">
            <v>5</v>
          </cell>
          <cell r="D450" t="str">
            <v>Pocket</v>
          </cell>
        </row>
        <row r="451">
          <cell r="A451">
            <v>447</v>
          </cell>
          <cell r="B451" t="str">
            <v>Mens</v>
          </cell>
          <cell r="C451">
            <v>5</v>
          </cell>
          <cell r="D451" t="str">
            <v>Pocket</v>
          </cell>
        </row>
        <row r="452">
          <cell r="A452">
            <v>448</v>
          </cell>
          <cell r="B452" t="str">
            <v>Mens</v>
          </cell>
          <cell r="C452">
            <v>5</v>
          </cell>
          <cell r="D452" t="str">
            <v>Pocket</v>
          </cell>
        </row>
        <row r="453">
          <cell r="A453">
            <v>449</v>
          </cell>
          <cell r="B453" t="str">
            <v>Mens</v>
          </cell>
          <cell r="C453">
            <v>5</v>
          </cell>
          <cell r="D453" t="str">
            <v>Pocket</v>
          </cell>
        </row>
        <row r="454">
          <cell r="A454">
            <v>450</v>
          </cell>
          <cell r="B454" t="str">
            <v>Mens</v>
          </cell>
          <cell r="C454">
            <v>5</v>
          </cell>
          <cell r="D454" t="str">
            <v>Pocket</v>
          </cell>
        </row>
        <row r="455">
          <cell r="A455">
            <v>451</v>
          </cell>
          <cell r="B455" t="str">
            <v>Mens</v>
          </cell>
          <cell r="C455">
            <v>5</v>
          </cell>
          <cell r="D455" t="str">
            <v>Pocket</v>
          </cell>
        </row>
        <row r="456">
          <cell r="A456">
            <v>452</v>
          </cell>
          <cell r="B456" t="str">
            <v>Mens</v>
          </cell>
          <cell r="C456">
            <v>5</v>
          </cell>
          <cell r="D456" t="str">
            <v>Pocket</v>
          </cell>
        </row>
        <row r="457">
          <cell r="A457">
            <v>453</v>
          </cell>
          <cell r="B457" t="str">
            <v>Mens</v>
          </cell>
          <cell r="C457">
            <v>5</v>
          </cell>
          <cell r="D457" t="str">
            <v>Pocket</v>
          </cell>
        </row>
        <row r="458">
          <cell r="A458">
            <v>454</v>
          </cell>
          <cell r="B458" t="str">
            <v>Mens</v>
          </cell>
          <cell r="C458">
            <v>5</v>
          </cell>
          <cell r="D458" t="str">
            <v>Pocket</v>
          </cell>
        </row>
        <row r="459">
          <cell r="A459">
            <v>455</v>
          </cell>
          <cell r="B459" t="str">
            <v>Mens</v>
          </cell>
          <cell r="C459">
            <v>5</v>
          </cell>
          <cell r="D459" t="str">
            <v>Pocket</v>
          </cell>
        </row>
        <row r="460">
          <cell r="A460">
            <v>456</v>
          </cell>
          <cell r="B460" t="str">
            <v>Mens</v>
          </cell>
          <cell r="C460">
            <v>5</v>
          </cell>
          <cell r="D460" t="str">
            <v>Pocket</v>
          </cell>
        </row>
        <row r="461">
          <cell r="A461">
            <v>457</v>
          </cell>
          <cell r="B461" t="str">
            <v>Mens</v>
          </cell>
          <cell r="C461">
            <v>5</v>
          </cell>
          <cell r="D461" t="str">
            <v>Pocket</v>
          </cell>
        </row>
        <row r="462">
          <cell r="A462">
            <v>458</v>
          </cell>
          <cell r="B462" t="str">
            <v>Mens</v>
          </cell>
          <cell r="C462">
            <v>5</v>
          </cell>
          <cell r="D462" t="str">
            <v>Pocket</v>
          </cell>
        </row>
        <row r="463">
          <cell r="A463">
            <v>459</v>
          </cell>
          <cell r="B463" t="str">
            <v>Mens</v>
          </cell>
          <cell r="C463">
            <v>5</v>
          </cell>
          <cell r="D463" t="str">
            <v>Pocket</v>
          </cell>
        </row>
        <row r="464">
          <cell r="A464">
            <v>460</v>
          </cell>
          <cell r="B464" t="str">
            <v>Mens</v>
          </cell>
          <cell r="C464">
            <v>5</v>
          </cell>
          <cell r="D464" t="str">
            <v>Pocket</v>
          </cell>
        </row>
        <row r="465">
          <cell r="A465">
            <v>461</v>
          </cell>
          <cell r="B465" t="str">
            <v>Mens</v>
          </cell>
          <cell r="C465">
            <v>5</v>
          </cell>
          <cell r="D465" t="str">
            <v>Pocket</v>
          </cell>
        </row>
        <row r="466">
          <cell r="A466">
            <v>462</v>
          </cell>
          <cell r="B466" t="str">
            <v>Mens</v>
          </cell>
          <cell r="C466">
            <v>5</v>
          </cell>
          <cell r="D466" t="str">
            <v>Pocket</v>
          </cell>
        </row>
        <row r="467">
          <cell r="A467">
            <v>463</v>
          </cell>
          <cell r="B467" t="str">
            <v>Mens</v>
          </cell>
          <cell r="C467">
            <v>5</v>
          </cell>
          <cell r="D467" t="str">
            <v>Pocket</v>
          </cell>
        </row>
        <row r="468">
          <cell r="A468">
            <v>464</v>
          </cell>
          <cell r="B468" t="str">
            <v>Mens</v>
          </cell>
          <cell r="C468">
            <v>5</v>
          </cell>
          <cell r="D468" t="str">
            <v>Pocket</v>
          </cell>
        </row>
        <row r="469">
          <cell r="A469">
            <v>465</v>
          </cell>
          <cell r="B469" t="str">
            <v>Mens</v>
          </cell>
          <cell r="C469">
            <v>5</v>
          </cell>
          <cell r="D469" t="str">
            <v>Pocket</v>
          </cell>
        </row>
        <row r="470">
          <cell r="A470">
            <v>466</v>
          </cell>
          <cell r="B470" t="str">
            <v>Mens</v>
          </cell>
          <cell r="C470">
            <v>5</v>
          </cell>
          <cell r="D470" t="str">
            <v>Pocket</v>
          </cell>
        </row>
        <row r="471">
          <cell r="A471">
            <v>467</v>
          </cell>
          <cell r="B471" t="str">
            <v>Mens</v>
          </cell>
          <cell r="C471">
            <v>5</v>
          </cell>
          <cell r="D471" t="str">
            <v>Pocket</v>
          </cell>
        </row>
        <row r="472">
          <cell r="A472">
            <v>468</v>
          </cell>
          <cell r="B472" t="str">
            <v>Mens</v>
          </cell>
          <cell r="C472">
            <v>5</v>
          </cell>
          <cell r="D472" t="str">
            <v>Pocket</v>
          </cell>
        </row>
        <row r="473">
          <cell r="A473">
            <v>469</v>
          </cell>
          <cell r="B473" t="str">
            <v>Mens</v>
          </cell>
          <cell r="C473">
            <v>5</v>
          </cell>
          <cell r="D473" t="str">
            <v>Pocket</v>
          </cell>
        </row>
        <row r="474">
          <cell r="A474">
            <v>470</v>
          </cell>
          <cell r="B474" t="str">
            <v>Mens</v>
          </cell>
          <cell r="C474">
            <v>5</v>
          </cell>
          <cell r="D474" t="str">
            <v>Pocket</v>
          </cell>
        </row>
        <row r="475">
          <cell r="A475">
            <v>471</v>
          </cell>
          <cell r="B475" t="str">
            <v>Mens</v>
          </cell>
          <cell r="C475">
            <v>6</v>
          </cell>
          <cell r="D475" t="str">
            <v>Backpart</v>
          </cell>
          <cell r="E475" t="str">
            <v>Topstitch  back yoke central Pleate</v>
          </cell>
          <cell r="F475" t="str">
            <v>M</v>
          </cell>
          <cell r="G475" t="str">
            <v>1N2TLS-UBT</v>
          </cell>
          <cell r="H475">
            <v>0.4</v>
          </cell>
          <cell r="I475">
            <v>150</v>
          </cell>
        </row>
        <row r="476">
          <cell r="A476">
            <v>472</v>
          </cell>
          <cell r="B476" t="str">
            <v>Mens</v>
          </cell>
          <cell r="C476">
            <v>6</v>
          </cell>
          <cell r="D476" t="str">
            <v>Backpart</v>
          </cell>
          <cell r="E476" t="str">
            <v xml:space="preserve">Attach back tape </v>
          </cell>
          <cell r="F476" t="str">
            <v>M</v>
          </cell>
          <cell r="G476" t="str">
            <v>1N2TLS-UBT</v>
          </cell>
          <cell r="H476">
            <v>0.4</v>
          </cell>
          <cell r="I476">
            <v>150</v>
          </cell>
        </row>
        <row r="477">
          <cell r="A477">
            <v>473</v>
          </cell>
          <cell r="B477" t="str">
            <v>Mens</v>
          </cell>
          <cell r="C477">
            <v>6</v>
          </cell>
          <cell r="D477" t="str">
            <v>Backpart</v>
          </cell>
          <cell r="E477" t="str">
            <v>attach elastic to back &amp; front top pannel</v>
          </cell>
          <cell r="F477" t="str">
            <v>M</v>
          </cell>
          <cell r="G477" t="str">
            <v>1N2TLS-UBT</v>
          </cell>
          <cell r="H477">
            <v>0.8</v>
          </cell>
          <cell r="I477">
            <v>75</v>
          </cell>
        </row>
        <row r="478">
          <cell r="A478">
            <v>474</v>
          </cell>
          <cell r="B478" t="str">
            <v>Mens</v>
          </cell>
          <cell r="C478">
            <v>6</v>
          </cell>
          <cell r="D478" t="str">
            <v>Backpart</v>
          </cell>
          <cell r="E478" t="str">
            <v>Attach  top &amp; middle  pannel</v>
          </cell>
          <cell r="F478" t="str">
            <v>M</v>
          </cell>
          <cell r="G478" t="str">
            <v>1N2TLS-UBT</v>
          </cell>
          <cell r="H478">
            <v>1</v>
          </cell>
          <cell r="I478">
            <v>60</v>
          </cell>
        </row>
        <row r="479">
          <cell r="A479">
            <v>475</v>
          </cell>
          <cell r="B479" t="str">
            <v>Mens</v>
          </cell>
          <cell r="C479">
            <v>6</v>
          </cell>
          <cell r="D479" t="str">
            <v>Backpart</v>
          </cell>
          <cell r="E479" t="str">
            <v xml:space="preserve">Make measure &amp; cut back  loop </v>
          </cell>
          <cell r="F479" t="str">
            <v>M</v>
          </cell>
          <cell r="G479" t="str">
            <v>1N2TLS-UBT</v>
          </cell>
          <cell r="H479">
            <v>0.3</v>
          </cell>
          <cell r="I479">
            <v>200</v>
          </cell>
        </row>
        <row r="480">
          <cell r="A480">
            <v>476</v>
          </cell>
          <cell r="B480" t="str">
            <v>Mens</v>
          </cell>
          <cell r="C480">
            <v>6</v>
          </cell>
          <cell r="D480" t="str">
            <v>Backpart</v>
          </cell>
          <cell r="E480" t="str">
            <v>attach back centre loop</v>
          </cell>
          <cell r="F480" t="str">
            <v>M</v>
          </cell>
          <cell r="G480" t="str">
            <v>1N2TLS-UBT</v>
          </cell>
          <cell r="H480">
            <v>0.45</v>
          </cell>
          <cell r="I480">
            <v>133.33333333333334</v>
          </cell>
        </row>
        <row r="481">
          <cell r="A481">
            <v>477</v>
          </cell>
          <cell r="B481" t="str">
            <v>Mens</v>
          </cell>
          <cell r="C481">
            <v>6</v>
          </cell>
          <cell r="D481" t="str">
            <v>Backpart</v>
          </cell>
          <cell r="E481" t="str">
            <v xml:space="preserve">Attach back  2 pannel </v>
          </cell>
          <cell r="F481" t="str">
            <v>M</v>
          </cell>
          <cell r="G481" t="str">
            <v>2N5TOL</v>
          </cell>
          <cell r="H481">
            <v>0.5</v>
          </cell>
          <cell r="I481">
            <v>120</v>
          </cell>
        </row>
        <row r="482">
          <cell r="A482">
            <v>478</v>
          </cell>
          <cell r="B482" t="str">
            <v>Mens</v>
          </cell>
          <cell r="C482">
            <v>6</v>
          </cell>
          <cell r="D482" t="str">
            <v>Backpart</v>
          </cell>
          <cell r="E482" t="str">
            <v>Topstitch at side back 2 pannel</v>
          </cell>
          <cell r="F482" t="str">
            <v>M</v>
          </cell>
          <cell r="G482" t="str">
            <v>1N2TLS-UBT</v>
          </cell>
          <cell r="H482">
            <v>0.8</v>
          </cell>
          <cell r="I482">
            <v>75</v>
          </cell>
        </row>
        <row r="483">
          <cell r="A483">
            <v>479</v>
          </cell>
          <cell r="B483" t="str">
            <v>Mens</v>
          </cell>
          <cell r="C483">
            <v>6</v>
          </cell>
          <cell r="D483" t="str">
            <v>Backpart</v>
          </cell>
          <cell r="E483" t="str">
            <v>Mark back part for dart</v>
          </cell>
          <cell r="F483" t="str">
            <v>H</v>
          </cell>
          <cell r="G483" t="str">
            <v>Plain Table</v>
          </cell>
          <cell r="H483">
            <v>0.35</v>
          </cell>
          <cell r="I483">
            <v>171.42857142857144</v>
          </cell>
          <cell r="J483" t="str">
            <v>pattern</v>
          </cell>
          <cell r="L483" t="str">
            <v>check</v>
          </cell>
        </row>
        <row r="484">
          <cell r="A484">
            <v>480</v>
          </cell>
          <cell r="B484" t="str">
            <v>Mens</v>
          </cell>
          <cell r="C484">
            <v>6</v>
          </cell>
          <cell r="D484" t="str">
            <v>Backpart</v>
          </cell>
          <cell r="E484" t="str">
            <v>Make back dart x2</v>
          </cell>
          <cell r="F484" t="str">
            <v>M</v>
          </cell>
          <cell r="G484" t="str">
            <v>1N2TLS-UBT</v>
          </cell>
          <cell r="H484">
            <v>0.4</v>
          </cell>
          <cell r="I484">
            <v>150</v>
          </cell>
          <cell r="J484" t="str">
            <v>plain</v>
          </cell>
          <cell r="K484" t="str">
            <v>plain</v>
          </cell>
          <cell r="L484" t="str">
            <v>check</v>
          </cell>
        </row>
        <row r="485">
          <cell r="A485">
            <v>481</v>
          </cell>
          <cell r="B485" t="str">
            <v>Mens</v>
          </cell>
          <cell r="C485">
            <v>6</v>
          </cell>
          <cell r="D485" t="str">
            <v>Backpart</v>
          </cell>
          <cell r="E485" t="str">
            <v>Topstitch Back dart x2</v>
          </cell>
          <cell r="F485" t="str">
            <v>M</v>
          </cell>
          <cell r="G485" t="str">
            <v>1N2TLS-UBT</v>
          </cell>
          <cell r="H485">
            <v>0.45</v>
          </cell>
          <cell r="I485">
            <v>133.33333333333334</v>
          </cell>
          <cell r="J485" t="str">
            <v>2mm CR</v>
          </cell>
          <cell r="K485" t="str">
            <v>plain</v>
          </cell>
        </row>
        <row r="486">
          <cell r="A486">
            <v>482</v>
          </cell>
          <cell r="B486" t="str">
            <v>Mens</v>
          </cell>
          <cell r="C486">
            <v>6</v>
          </cell>
          <cell r="D486" t="str">
            <v>Backpart</v>
          </cell>
          <cell r="E486" t="str">
            <v>Back label patch  Press</v>
          </cell>
          <cell r="F486" t="str">
            <v>I</v>
          </cell>
          <cell r="G486" t="str">
            <v>Iron Table</v>
          </cell>
          <cell r="H486">
            <v>0.45</v>
          </cell>
          <cell r="I486">
            <v>133.33333333333334</v>
          </cell>
        </row>
        <row r="487">
          <cell r="A487">
            <v>483</v>
          </cell>
          <cell r="B487" t="str">
            <v>Mens</v>
          </cell>
          <cell r="C487">
            <v>6</v>
          </cell>
          <cell r="D487" t="str">
            <v>Backpart</v>
          </cell>
          <cell r="E487" t="str">
            <v>Back Yoke Lbl att. To Back Patch</v>
          </cell>
          <cell r="F487" t="str">
            <v>M</v>
          </cell>
          <cell r="G487" t="str">
            <v>1N2TLS-UBT</v>
          </cell>
          <cell r="H487">
            <v>0.36</v>
          </cell>
          <cell r="I487">
            <v>166.66666666666669</v>
          </cell>
        </row>
        <row r="488">
          <cell r="A488">
            <v>484</v>
          </cell>
          <cell r="B488" t="str">
            <v>Mens</v>
          </cell>
          <cell r="C488">
            <v>6</v>
          </cell>
          <cell r="D488" t="str">
            <v>Backpart</v>
          </cell>
          <cell r="E488" t="str">
            <v>Back Patch Lbl Attach to Back Yoke</v>
          </cell>
          <cell r="F488" t="str">
            <v>M</v>
          </cell>
          <cell r="G488" t="str">
            <v>1N2TLS-UBT</v>
          </cell>
          <cell r="H488">
            <v>0.45</v>
          </cell>
          <cell r="I488">
            <v>133.33333333333334</v>
          </cell>
        </row>
        <row r="489">
          <cell r="A489">
            <v>485</v>
          </cell>
          <cell r="B489" t="str">
            <v>Mens</v>
          </cell>
          <cell r="C489">
            <v>6</v>
          </cell>
          <cell r="D489" t="str">
            <v>Backpart</v>
          </cell>
          <cell r="E489" t="str">
            <v>Make back central Pleate</v>
          </cell>
          <cell r="F489" t="str">
            <v>M</v>
          </cell>
          <cell r="G489" t="str">
            <v>1N2TLS-UBT</v>
          </cell>
          <cell r="H489">
            <v>0.3</v>
          </cell>
          <cell r="I489">
            <v>200</v>
          </cell>
        </row>
        <row r="490">
          <cell r="A490">
            <v>486</v>
          </cell>
          <cell r="B490" t="str">
            <v>Mens</v>
          </cell>
          <cell r="C490">
            <v>6</v>
          </cell>
          <cell r="D490" t="str">
            <v>Backpart</v>
          </cell>
          <cell r="E490" t="str">
            <v>Make back  Pleate</v>
          </cell>
          <cell r="F490" t="str">
            <v>M</v>
          </cell>
          <cell r="G490" t="str">
            <v>1N2TLS-UBT</v>
          </cell>
          <cell r="H490">
            <v>0.3</v>
          </cell>
          <cell r="I490">
            <v>200</v>
          </cell>
        </row>
        <row r="491">
          <cell r="A491">
            <v>487</v>
          </cell>
          <cell r="B491" t="str">
            <v>Mens</v>
          </cell>
          <cell r="C491">
            <v>6</v>
          </cell>
          <cell r="D491" t="str">
            <v>Backpart</v>
          </cell>
          <cell r="E491" t="str">
            <v xml:space="preserve">Att  labels to Back </v>
          </cell>
          <cell r="F491" t="str">
            <v>M</v>
          </cell>
          <cell r="G491" t="str">
            <v>1N2TLS-UBT</v>
          </cell>
          <cell r="H491">
            <v>0.38</v>
          </cell>
          <cell r="I491">
            <v>157.89473684210526</v>
          </cell>
          <cell r="J491" t="str">
            <v>plain</v>
          </cell>
        </row>
        <row r="492">
          <cell r="A492">
            <v>488</v>
          </cell>
          <cell r="B492" t="str">
            <v>Mens</v>
          </cell>
          <cell r="C492">
            <v>6</v>
          </cell>
          <cell r="D492" t="str">
            <v>Backpart</v>
          </cell>
          <cell r="E492" t="str">
            <v>Attach  labels to BK yoke 2 Side Tack</v>
          </cell>
          <cell r="F492" t="str">
            <v>M</v>
          </cell>
          <cell r="G492" t="str">
            <v>1N2TLS-UBT</v>
          </cell>
          <cell r="H492">
            <v>0.42</v>
          </cell>
          <cell r="I492">
            <v>142.85714285714286</v>
          </cell>
        </row>
        <row r="493">
          <cell r="A493">
            <v>489</v>
          </cell>
          <cell r="B493" t="str">
            <v>Mens</v>
          </cell>
          <cell r="C493">
            <v>6</v>
          </cell>
          <cell r="D493" t="str">
            <v>Backpart</v>
          </cell>
          <cell r="E493" t="str">
            <v>Size &amp; care Label attach to Back part</v>
          </cell>
          <cell r="F493" t="str">
            <v>M</v>
          </cell>
          <cell r="G493" t="str">
            <v>1N2TLS-UBT</v>
          </cell>
          <cell r="H493">
            <v>0.42</v>
          </cell>
          <cell r="I493">
            <v>142.85714285714286</v>
          </cell>
          <cell r="J493" t="str">
            <v>plain</v>
          </cell>
          <cell r="K493" t="str">
            <v>plain</v>
          </cell>
        </row>
        <row r="494">
          <cell r="A494">
            <v>490</v>
          </cell>
          <cell r="B494" t="str">
            <v>Mens</v>
          </cell>
          <cell r="C494">
            <v>6</v>
          </cell>
          <cell r="D494" t="str">
            <v>Backpart</v>
          </cell>
          <cell r="E494" t="str">
            <v>attach lilling to back &amp; front waist belt</v>
          </cell>
          <cell r="F494" t="str">
            <v>I</v>
          </cell>
          <cell r="G494" t="str">
            <v>Iron Table</v>
          </cell>
          <cell r="H494">
            <v>0.4</v>
          </cell>
          <cell r="I494">
            <v>150</v>
          </cell>
        </row>
        <row r="495">
          <cell r="A495">
            <v>491</v>
          </cell>
          <cell r="B495" t="str">
            <v>Mens</v>
          </cell>
          <cell r="C495">
            <v>6</v>
          </cell>
          <cell r="D495" t="str">
            <v>Backpart</v>
          </cell>
          <cell r="E495" t="str">
            <v xml:space="preserve">Press back westrn yoke </v>
          </cell>
          <cell r="F495" t="str">
            <v>I</v>
          </cell>
          <cell r="G495" t="str">
            <v>Iron Table</v>
          </cell>
          <cell r="H495">
            <v>0.5</v>
          </cell>
          <cell r="I495">
            <v>120</v>
          </cell>
          <cell r="L495" t="str">
            <v>check</v>
          </cell>
        </row>
        <row r="496">
          <cell r="A496">
            <v>492</v>
          </cell>
          <cell r="B496" t="str">
            <v>Mens</v>
          </cell>
          <cell r="C496">
            <v>6</v>
          </cell>
          <cell r="D496" t="str">
            <v>Backpart</v>
          </cell>
          <cell r="E496" t="str">
            <v>Attach label with make</v>
          </cell>
          <cell r="F496" t="str">
            <v>M</v>
          </cell>
          <cell r="G496" t="str">
            <v>1N2TLS-UBT</v>
          </cell>
          <cell r="H496">
            <v>0.6</v>
          </cell>
          <cell r="I496">
            <v>100</v>
          </cell>
        </row>
        <row r="497">
          <cell r="A497">
            <v>493</v>
          </cell>
          <cell r="B497" t="str">
            <v>Mens</v>
          </cell>
          <cell r="C497">
            <v>6</v>
          </cell>
          <cell r="D497" t="str">
            <v>Backpart</v>
          </cell>
          <cell r="E497" t="str">
            <v>Back yoke pannel</v>
          </cell>
          <cell r="F497" t="str">
            <v>M</v>
          </cell>
          <cell r="G497" t="str">
            <v>1N2TLS-UBT</v>
          </cell>
          <cell r="H497">
            <v>0.4</v>
          </cell>
          <cell r="I497">
            <v>150</v>
          </cell>
        </row>
        <row r="498">
          <cell r="A498">
            <v>494</v>
          </cell>
          <cell r="B498" t="str">
            <v>Mens</v>
          </cell>
          <cell r="C498">
            <v>6</v>
          </cell>
          <cell r="D498" t="str">
            <v>Backpart</v>
          </cell>
          <cell r="E498" t="str">
            <v>Back yoke attach by Folder</v>
          </cell>
          <cell r="F498" t="str">
            <v>M</v>
          </cell>
          <cell r="G498" t="str">
            <v>1N2TLS-UBT</v>
          </cell>
          <cell r="H498">
            <v>0.45</v>
          </cell>
          <cell r="I498">
            <v>133.33333333333334</v>
          </cell>
          <cell r="J498" t="str">
            <v>plain</v>
          </cell>
        </row>
        <row r="499">
          <cell r="A499">
            <v>495</v>
          </cell>
          <cell r="B499" t="str">
            <v>Mens</v>
          </cell>
          <cell r="C499">
            <v>6</v>
          </cell>
          <cell r="D499" t="str">
            <v>Backpart</v>
          </cell>
          <cell r="E499" t="str">
            <v>Back yoke attach</v>
          </cell>
          <cell r="F499" t="str">
            <v>M</v>
          </cell>
          <cell r="G499" t="str">
            <v>2N5TOL</v>
          </cell>
          <cell r="H499">
            <v>0.45</v>
          </cell>
          <cell r="I499">
            <v>133.33333333333334</v>
          </cell>
        </row>
        <row r="500">
          <cell r="A500">
            <v>496</v>
          </cell>
          <cell r="B500" t="str">
            <v>Mens</v>
          </cell>
          <cell r="C500">
            <v>6</v>
          </cell>
          <cell r="D500" t="str">
            <v>Backpart</v>
          </cell>
          <cell r="E500" t="str">
            <v>Close back yoke pannel</v>
          </cell>
          <cell r="F500" t="str">
            <v>M</v>
          </cell>
          <cell r="G500" t="str">
            <v>1N2TLS-UBT</v>
          </cell>
          <cell r="H500">
            <v>0.35</v>
          </cell>
          <cell r="I500">
            <v>171.42857142857144</v>
          </cell>
        </row>
        <row r="501">
          <cell r="A501">
            <v>497</v>
          </cell>
          <cell r="B501" t="str">
            <v>Mens</v>
          </cell>
          <cell r="C501">
            <v>6</v>
          </cell>
          <cell r="D501" t="str">
            <v>Backpart</v>
          </cell>
          <cell r="E501" t="str">
            <v>Back yoke attach by Folder</v>
          </cell>
          <cell r="F501" t="str">
            <v>M</v>
          </cell>
          <cell r="G501" t="str">
            <v>1N2TLS-UBT</v>
          </cell>
          <cell r="H501">
            <v>0.5</v>
          </cell>
          <cell r="I501">
            <v>120</v>
          </cell>
        </row>
        <row r="502">
          <cell r="A502">
            <v>498</v>
          </cell>
          <cell r="B502" t="str">
            <v>Mens</v>
          </cell>
          <cell r="C502">
            <v>6</v>
          </cell>
          <cell r="D502" t="str">
            <v>Backpart</v>
          </cell>
          <cell r="E502" t="str">
            <v xml:space="preserve">Back yoke attac by T/St </v>
          </cell>
          <cell r="F502" t="str">
            <v>M</v>
          </cell>
          <cell r="G502" t="str">
            <v>1N2TLS-UBT</v>
          </cell>
          <cell r="H502">
            <v>0.45</v>
          </cell>
          <cell r="I502">
            <v>133.33333333333334</v>
          </cell>
          <cell r="J502" t="str">
            <v>1/16" CL</v>
          </cell>
          <cell r="N502" t="str">
            <v>Folder</v>
          </cell>
        </row>
        <row r="503">
          <cell r="A503">
            <v>499</v>
          </cell>
          <cell r="B503" t="str">
            <v>Mens</v>
          </cell>
          <cell r="C503">
            <v>6</v>
          </cell>
          <cell r="D503" t="str">
            <v>Backpart</v>
          </cell>
          <cell r="E503" t="str">
            <v>Back yoke topstitch</v>
          </cell>
          <cell r="F503" t="str">
            <v>M</v>
          </cell>
          <cell r="G503" t="str">
            <v>1N2TLS-UBT</v>
          </cell>
          <cell r="H503">
            <v>0.35</v>
          </cell>
          <cell r="I503">
            <v>171.42857142857144</v>
          </cell>
          <cell r="J503" t="str">
            <v>1/4" CR</v>
          </cell>
        </row>
        <row r="504">
          <cell r="A504">
            <v>500</v>
          </cell>
          <cell r="B504" t="str">
            <v>Mens</v>
          </cell>
          <cell r="C504">
            <v>6</v>
          </cell>
          <cell r="D504" t="str">
            <v>Backpart</v>
          </cell>
          <cell r="E504" t="str">
            <v>Back yoke topstitch</v>
          </cell>
          <cell r="F504" t="str">
            <v>M</v>
          </cell>
          <cell r="G504" t="str">
            <v>2N4TLSUBT</v>
          </cell>
          <cell r="H504">
            <v>0.36</v>
          </cell>
          <cell r="I504">
            <v>166.66666666666669</v>
          </cell>
          <cell r="J504" t="str">
            <v>1/16" CL</v>
          </cell>
          <cell r="K504" t="str">
            <v>1/4"</v>
          </cell>
        </row>
        <row r="505">
          <cell r="A505">
            <v>501</v>
          </cell>
          <cell r="B505" t="str">
            <v>Mens</v>
          </cell>
          <cell r="C505">
            <v>6</v>
          </cell>
          <cell r="D505" t="str">
            <v>Backpart</v>
          </cell>
          <cell r="E505" t="str">
            <v>Back Yoke Center Stitch</v>
          </cell>
          <cell r="F505" t="str">
            <v>M</v>
          </cell>
          <cell r="G505" t="str">
            <v>1N2TLS-UBT</v>
          </cell>
          <cell r="H505">
            <v>0.28000000000000003</v>
          </cell>
          <cell r="I505">
            <v>214.28571428571428</v>
          </cell>
        </row>
        <row r="506">
          <cell r="A506">
            <v>502</v>
          </cell>
          <cell r="B506" t="str">
            <v>Mens</v>
          </cell>
          <cell r="C506">
            <v>6</v>
          </cell>
          <cell r="D506" t="str">
            <v>Backpart</v>
          </cell>
          <cell r="E506" t="str">
            <v>Trim back neck</v>
          </cell>
          <cell r="F506" t="str">
            <v>H</v>
          </cell>
          <cell r="G506" t="str">
            <v>Plain Table</v>
          </cell>
          <cell r="H506">
            <v>0.3</v>
          </cell>
          <cell r="I506">
            <v>200</v>
          </cell>
        </row>
        <row r="507">
          <cell r="A507">
            <v>503</v>
          </cell>
          <cell r="B507" t="str">
            <v>Mens</v>
          </cell>
          <cell r="C507">
            <v>6</v>
          </cell>
          <cell r="D507" t="str">
            <v>Backpart</v>
          </cell>
          <cell r="E507" t="str">
            <v xml:space="preserve">Back Side Vent,bon pkt facing </v>
          </cell>
          <cell r="F507" t="str">
            <v>M</v>
          </cell>
          <cell r="G507" t="str">
            <v>1N3TOL</v>
          </cell>
          <cell r="H507">
            <v>0.45</v>
          </cell>
          <cell r="I507">
            <v>133.33333333333334</v>
          </cell>
        </row>
        <row r="508">
          <cell r="A508">
            <v>504</v>
          </cell>
          <cell r="B508" t="str">
            <v>Mens</v>
          </cell>
          <cell r="C508">
            <v>6</v>
          </cell>
          <cell r="D508" t="str">
            <v>Backpart</v>
          </cell>
          <cell r="E508" t="str">
            <v>Make Side Vent at back</v>
          </cell>
          <cell r="F508" t="str">
            <v>M</v>
          </cell>
          <cell r="G508" t="str">
            <v>2N4TLSUBT</v>
          </cell>
          <cell r="H508">
            <v>0.7</v>
          </cell>
          <cell r="I508">
            <v>85.714285714285722</v>
          </cell>
        </row>
        <row r="509">
          <cell r="A509">
            <v>505</v>
          </cell>
          <cell r="B509" t="str">
            <v>Mens</v>
          </cell>
          <cell r="C509">
            <v>6</v>
          </cell>
          <cell r="D509" t="str">
            <v>Backpart</v>
          </cell>
          <cell r="E509" t="str">
            <v>attach back waist belt</v>
          </cell>
          <cell r="F509" t="str">
            <v>M</v>
          </cell>
          <cell r="G509" t="str">
            <v>1N2TLS-UBT</v>
          </cell>
          <cell r="H509">
            <v>0.5</v>
          </cell>
          <cell r="I509">
            <v>120</v>
          </cell>
        </row>
        <row r="510">
          <cell r="A510">
            <v>506</v>
          </cell>
          <cell r="B510" t="str">
            <v>Mens</v>
          </cell>
          <cell r="C510">
            <v>6</v>
          </cell>
          <cell r="D510" t="str">
            <v>Backpart</v>
          </cell>
          <cell r="E510" t="str">
            <v xml:space="preserve">topstitch back waist </v>
          </cell>
          <cell r="F510" t="str">
            <v>M</v>
          </cell>
          <cell r="G510" t="str">
            <v>1N2TLS-UBT</v>
          </cell>
          <cell r="H510">
            <v>0.5</v>
          </cell>
          <cell r="I510">
            <v>120</v>
          </cell>
        </row>
        <row r="511">
          <cell r="A511">
            <v>507</v>
          </cell>
          <cell r="B511" t="str">
            <v>Mens</v>
          </cell>
          <cell r="C511">
            <v>6</v>
          </cell>
          <cell r="D511" t="str">
            <v>Backpart</v>
          </cell>
          <cell r="E511" t="str">
            <v>Att  labels to BK with make</v>
          </cell>
          <cell r="F511" t="str">
            <v>M</v>
          </cell>
          <cell r="G511" t="str">
            <v>1N2TLS-UBT</v>
          </cell>
          <cell r="H511">
            <v>0.43</v>
          </cell>
          <cell r="I511">
            <v>139.53488372093022</v>
          </cell>
        </row>
        <row r="512">
          <cell r="A512">
            <v>508</v>
          </cell>
          <cell r="B512" t="str">
            <v>Mens</v>
          </cell>
          <cell r="C512">
            <v>6</v>
          </cell>
          <cell r="D512" t="str">
            <v>Backpart</v>
          </cell>
          <cell r="E512" t="str">
            <v>Deco stitch at back part</v>
          </cell>
          <cell r="F512" t="str">
            <v>M</v>
          </cell>
          <cell r="G512" t="str">
            <v>1N2TLS-UBT</v>
          </cell>
          <cell r="H512">
            <v>0.43</v>
          </cell>
          <cell r="I512">
            <v>139.53488372093022</v>
          </cell>
        </row>
        <row r="513">
          <cell r="A513">
            <v>509</v>
          </cell>
          <cell r="B513" t="str">
            <v>Mens</v>
          </cell>
          <cell r="C513">
            <v>6</v>
          </cell>
          <cell r="D513" t="str">
            <v>Backpart</v>
          </cell>
          <cell r="E513" t="str">
            <v>Check &amp; trims Elastic stitch</v>
          </cell>
          <cell r="F513" t="str">
            <v>H</v>
          </cell>
          <cell r="G513" t="str">
            <v>Plain Table</v>
          </cell>
          <cell r="H513">
            <v>0.35</v>
          </cell>
          <cell r="I513">
            <v>171.42857142857144</v>
          </cell>
        </row>
        <row r="514">
          <cell r="A514">
            <v>510</v>
          </cell>
          <cell r="B514" t="str">
            <v>Mens</v>
          </cell>
          <cell r="C514">
            <v>6</v>
          </cell>
          <cell r="D514" t="str">
            <v>Backpart</v>
          </cell>
          <cell r="E514" t="str">
            <v>Sharing back part</v>
          </cell>
          <cell r="F514" t="str">
            <v>M</v>
          </cell>
          <cell r="G514" t="str">
            <v>1N2TLS-UBT</v>
          </cell>
          <cell r="H514">
            <v>0.4</v>
          </cell>
          <cell r="I514">
            <v>150</v>
          </cell>
          <cell r="J514" t="str">
            <v>Sharing</v>
          </cell>
        </row>
        <row r="515">
          <cell r="A515">
            <v>511</v>
          </cell>
          <cell r="B515" t="str">
            <v>Mens</v>
          </cell>
          <cell r="C515">
            <v>6</v>
          </cell>
          <cell r="D515" t="str">
            <v>Backpart</v>
          </cell>
          <cell r="E515" t="str">
            <v>Make back lower part pleate x4</v>
          </cell>
          <cell r="F515" t="str">
            <v>M</v>
          </cell>
          <cell r="G515" t="str">
            <v>1N2TLS-UBT</v>
          </cell>
          <cell r="H515">
            <v>0.65</v>
          </cell>
          <cell r="I515">
            <v>92.307692307692307</v>
          </cell>
        </row>
        <row r="516">
          <cell r="A516">
            <v>512</v>
          </cell>
          <cell r="B516" t="str">
            <v>Mens</v>
          </cell>
          <cell r="C516">
            <v>6</v>
          </cell>
          <cell r="D516" t="str">
            <v>Backpart</v>
          </cell>
          <cell r="E516" t="str">
            <v xml:space="preserve">attach back upper &amp; lower </v>
          </cell>
          <cell r="F516" t="str">
            <v>M</v>
          </cell>
          <cell r="G516" t="str">
            <v>2N5TOL</v>
          </cell>
          <cell r="H516">
            <v>0.4</v>
          </cell>
          <cell r="I516">
            <v>150</v>
          </cell>
        </row>
        <row r="517">
          <cell r="A517">
            <v>513</v>
          </cell>
          <cell r="B517" t="str">
            <v>Mens</v>
          </cell>
          <cell r="C517">
            <v>6</v>
          </cell>
          <cell r="D517" t="str">
            <v>Backpart</v>
          </cell>
          <cell r="E517" t="str">
            <v>Topstitch back upper &amp; lower</v>
          </cell>
          <cell r="F517" t="str">
            <v>M</v>
          </cell>
          <cell r="G517" t="str">
            <v>1N2TLS-UBT</v>
          </cell>
          <cell r="H517">
            <v>0.4</v>
          </cell>
          <cell r="I517">
            <v>150</v>
          </cell>
        </row>
        <row r="518">
          <cell r="A518">
            <v>514</v>
          </cell>
          <cell r="B518" t="str">
            <v>Mens</v>
          </cell>
          <cell r="C518">
            <v>6</v>
          </cell>
          <cell r="D518" t="str">
            <v>Backpart</v>
          </cell>
          <cell r="E518" t="str">
            <v>Attach back bottom pannel X2</v>
          </cell>
          <cell r="F518" t="str">
            <v>M</v>
          </cell>
          <cell r="G518" t="str">
            <v>2N5TOL</v>
          </cell>
          <cell r="H518">
            <v>0.56999999999999995</v>
          </cell>
          <cell r="I518">
            <v>105.26315789473685</v>
          </cell>
        </row>
        <row r="519">
          <cell r="A519">
            <v>515</v>
          </cell>
          <cell r="B519" t="str">
            <v>Mens</v>
          </cell>
          <cell r="C519">
            <v>6</v>
          </cell>
          <cell r="D519" t="str">
            <v>Backpart</v>
          </cell>
          <cell r="E519" t="str">
            <v>Tack back pannel end</v>
          </cell>
          <cell r="F519" t="str">
            <v>M</v>
          </cell>
          <cell r="G519" t="str">
            <v>1N2TLS-UBT</v>
          </cell>
          <cell r="H519">
            <v>0.4</v>
          </cell>
          <cell r="I519">
            <v>150</v>
          </cell>
        </row>
        <row r="520">
          <cell r="A520">
            <v>516</v>
          </cell>
          <cell r="B520" t="str">
            <v>Mens</v>
          </cell>
          <cell r="C520">
            <v>6</v>
          </cell>
          <cell r="D520" t="str">
            <v>Backpart</v>
          </cell>
          <cell r="E520" t="str">
            <v>Attach back top &amp; bottom pannel</v>
          </cell>
          <cell r="F520" t="str">
            <v>M</v>
          </cell>
          <cell r="G520" t="str">
            <v>2N5TOL</v>
          </cell>
          <cell r="H520">
            <v>0.42</v>
          </cell>
          <cell r="I520">
            <v>142.85714285714286</v>
          </cell>
        </row>
        <row r="521">
          <cell r="A521">
            <v>517</v>
          </cell>
          <cell r="B521" t="str">
            <v>Mens</v>
          </cell>
          <cell r="C521">
            <v>6</v>
          </cell>
          <cell r="D521" t="str">
            <v>Backpart</v>
          </cell>
          <cell r="E521" t="str">
            <v>attach back shoulder pannel</v>
          </cell>
          <cell r="F521" t="str">
            <v>M</v>
          </cell>
          <cell r="G521" t="str">
            <v>1N3TOL</v>
          </cell>
          <cell r="H521">
            <v>0.38</v>
          </cell>
          <cell r="I521">
            <v>157.89473684210526</v>
          </cell>
        </row>
        <row r="522">
          <cell r="A522">
            <v>518</v>
          </cell>
          <cell r="B522" t="str">
            <v>Mens</v>
          </cell>
          <cell r="C522">
            <v>6</v>
          </cell>
          <cell r="D522" t="str">
            <v>Backpart</v>
          </cell>
          <cell r="E522" t="str">
            <v>Close back back pannel</v>
          </cell>
          <cell r="F522" t="str">
            <v>M</v>
          </cell>
          <cell r="G522" t="str">
            <v>1N2TLS-UBT</v>
          </cell>
          <cell r="H522">
            <v>0.7</v>
          </cell>
          <cell r="I522">
            <v>85.714285714285722</v>
          </cell>
        </row>
        <row r="523">
          <cell r="A523">
            <v>519</v>
          </cell>
          <cell r="B523" t="str">
            <v>Mens</v>
          </cell>
          <cell r="C523">
            <v>6</v>
          </cell>
          <cell r="D523" t="str">
            <v>Backpart</v>
          </cell>
          <cell r="E523" t="str">
            <v>Attach pipping at back pannel x2</v>
          </cell>
          <cell r="F523" t="str">
            <v>M</v>
          </cell>
          <cell r="G523" t="str">
            <v>1N2TLS-UBT</v>
          </cell>
          <cell r="H523">
            <v>0.8</v>
          </cell>
          <cell r="I523">
            <v>75</v>
          </cell>
        </row>
        <row r="524">
          <cell r="A524">
            <v>520</v>
          </cell>
          <cell r="B524" t="str">
            <v>Mens</v>
          </cell>
          <cell r="C524">
            <v>6</v>
          </cell>
          <cell r="D524" t="str">
            <v>Backpart</v>
          </cell>
          <cell r="E524" t="str">
            <v>Trim ,check smoking  pannel</v>
          </cell>
          <cell r="F524" t="str">
            <v>H</v>
          </cell>
          <cell r="G524" t="str">
            <v>Plain Table</v>
          </cell>
          <cell r="H524">
            <v>0.5</v>
          </cell>
          <cell r="I524">
            <v>120</v>
          </cell>
        </row>
        <row r="525">
          <cell r="A525">
            <v>521</v>
          </cell>
          <cell r="B525" t="str">
            <v>Mens</v>
          </cell>
          <cell r="C525">
            <v>6</v>
          </cell>
          <cell r="D525" t="str">
            <v>Backpart</v>
          </cell>
          <cell r="E525" t="str">
            <v>Attach back pannel to make dart</v>
          </cell>
          <cell r="F525" t="str">
            <v>M</v>
          </cell>
          <cell r="G525" t="str">
            <v>1N2TLS-UBT</v>
          </cell>
          <cell r="H525">
            <v>0.45</v>
          </cell>
          <cell r="I525">
            <v>133.33333333333334</v>
          </cell>
        </row>
        <row r="526">
          <cell r="A526">
            <v>522</v>
          </cell>
          <cell r="B526" t="str">
            <v>Mens</v>
          </cell>
          <cell r="C526">
            <v>6</v>
          </cell>
          <cell r="D526" t="str">
            <v>Backpart</v>
          </cell>
          <cell r="E526" t="str">
            <v>Press back dart</v>
          </cell>
          <cell r="F526" t="str">
            <v>I</v>
          </cell>
          <cell r="G526" t="str">
            <v>Iron Table</v>
          </cell>
          <cell r="H526">
            <v>0.4</v>
          </cell>
          <cell r="I526">
            <v>150</v>
          </cell>
        </row>
        <row r="527">
          <cell r="A527">
            <v>523</v>
          </cell>
          <cell r="B527" t="str">
            <v>Mens</v>
          </cell>
          <cell r="C527">
            <v>6</v>
          </cell>
          <cell r="D527" t="str">
            <v>Backpart</v>
          </cell>
          <cell r="E527" t="str">
            <v>Topstitch back dart</v>
          </cell>
          <cell r="F527" t="str">
            <v>M</v>
          </cell>
          <cell r="G527" t="str">
            <v>1N2TLS-UBT</v>
          </cell>
          <cell r="H527">
            <v>0.8</v>
          </cell>
          <cell r="I527">
            <v>75</v>
          </cell>
        </row>
        <row r="528">
          <cell r="A528">
            <v>524</v>
          </cell>
          <cell r="B528" t="str">
            <v>Mens</v>
          </cell>
          <cell r="C528">
            <v>6</v>
          </cell>
          <cell r="D528" t="str">
            <v>Backpart</v>
          </cell>
          <cell r="E528" t="str">
            <v>Fold &amp; topstitch back vent</v>
          </cell>
          <cell r="F528" t="str">
            <v>M</v>
          </cell>
          <cell r="G528" t="str">
            <v>1N2TLS-UBT</v>
          </cell>
          <cell r="H528">
            <v>0.6</v>
          </cell>
          <cell r="I528">
            <v>100</v>
          </cell>
        </row>
        <row r="529">
          <cell r="A529">
            <v>525</v>
          </cell>
          <cell r="B529" t="str">
            <v>Mens</v>
          </cell>
          <cell r="C529">
            <v>6</v>
          </cell>
          <cell r="D529" t="str">
            <v>Backpart</v>
          </cell>
          <cell r="E529" t="str">
            <v>Size &amp; care Label attach to Back part</v>
          </cell>
          <cell r="F529" t="str">
            <v>M</v>
          </cell>
          <cell r="G529" t="str">
            <v>1N2TLS-UBT</v>
          </cell>
          <cell r="H529">
            <v>0.3</v>
          </cell>
          <cell r="I529">
            <v>200</v>
          </cell>
          <cell r="J529" t="str">
            <v>plain</v>
          </cell>
          <cell r="K529" t="str">
            <v>plain</v>
          </cell>
          <cell r="L529" t="str">
            <v>check</v>
          </cell>
        </row>
        <row r="530">
          <cell r="A530">
            <v>526</v>
          </cell>
          <cell r="B530" t="str">
            <v>Mens</v>
          </cell>
          <cell r="C530">
            <v>6</v>
          </cell>
          <cell r="D530" t="str">
            <v>Backpart</v>
          </cell>
          <cell r="E530" t="str">
            <v>Attach back  pannel X2</v>
          </cell>
          <cell r="F530" t="str">
            <v>M</v>
          </cell>
          <cell r="G530" t="str">
            <v>2N5TOL</v>
          </cell>
          <cell r="H530">
            <v>0.8</v>
          </cell>
          <cell r="I530">
            <v>75</v>
          </cell>
        </row>
        <row r="531">
          <cell r="A531">
            <v>527</v>
          </cell>
          <cell r="B531" t="str">
            <v>Mens</v>
          </cell>
          <cell r="C531">
            <v>6</v>
          </cell>
          <cell r="D531" t="str">
            <v>Backpart</v>
          </cell>
          <cell r="E531" t="str">
            <v>Mark placket for make</v>
          </cell>
          <cell r="F531" t="str">
            <v>H</v>
          </cell>
          <cell r="G531" t="str">
            <v>Plain Table</v>
          </cell>
          <cell r="H531">
            <v>0.4</v>
          </cell>
          <cell r="I531">
            <v>150</v>
          </cell>
        </row>
        <row r="532">
          <cell r="A532">
            <v>528</v>
          </cell>
          <cell r="B532" t="str">
            <v>Mens</v>
          </cell>
          <cell r="C532">
            <v>6</v>
          </cell>
          <cell r="D532" t="str">
            <v>Backpart</v>
          </cell>
          <cell r="E532" t="str">
            <v>Make back  &amp; front top pannel  smoking x2</v>
          </cell>
          <cell r="F532" t="str">
            <v>M</v>
          </cell>
          <cell r="G532" t="str">
            <v>6N12TCS-smoking</v>
          </cell>
          <cell r="H532">
            <v>0.6</v>
          </cell>
          <cell r="I532">
            <v>100</v>
          </cell>
        </row>
        <row r="533">
          <cell r="A533">
            <v>529</v>
          </cell>
          <cell r="B533" t="str">
            <v>Mens</v>
          </cell>
          <cell r="C533">
            <v>6</v>
          </cell>
          <cell r="D533" t="str">
            <v>Backpart</v>
          </cell>
          <cell r="E533" t="str">
            <v xml:space="preserve">make &amp; turn back epualet </v>
          </cell>
          <cell r="F533" t="str">
            <v>M</v>
          </cell>
          <cell r="G533" t="str">
            <v>1N2TLS-UBT</v>
          </cell>
          <cell r="H533">
            <v>0.5</v>
          </cell>
          <cell r="I533">
            <v>120</v>
          </cell>
        </row>
        <row r="534">
          <cell r="A534">
            <v>530</v>
          </cell>
          <cell r="B534" t="str">
            <v>Mens</v>
          </cell>
          <cell r="C534">
            <v>6</v>
          </cell>
          <cell r="D534" t="str">
            <v>Backpart</v>
          </cell>
          <cell r="E534" t="str">
            <v>Press back epualet</v>
          </cell>
          <cell r="F534" t="str">
            <v>I</v>
          </cell>
          <cell r="G534" t="str">
            <v>Iron Table</v>
          </cell>
          <cell r="H534">
            <v>0.4</v>
          </cell>
          <cell r="I534">
            <v>150</v>
          </cell>
        </row>
        <row r="535">
          <cell r="A535">
            <v>531</v>
          </cell>
          <cell r="B535" t="str">
            <v>Mens</v>
          </cell>
          <cell r="C535">
            <v>6</v>
          </cell>
          <cell r="D535" t="str">
            <v>Backpart</v>
          </cell>
          <cell r="E535" t="str">
            <v>Attach back epualet</v>
          </cell>
          <cell r="F535" t="str">
            <v>M</v>
          </cell>
          <cell r="G535" t="str">
            <v>1N2TLS-UBT</v>
          </cell>
          <cell r="H535">
            <v>0.5</v>
          </cell>
          <cell r="I535">
            <v>120</v>
          </cell>
        </row>
        <row r="536">
          <cell r="A536">
            <v>532</v>
          </cell>
          <cell r="B536" t="str">
            <v>Mens</v>
          </cell>
          <cell r="C536">
            <v>6</v>
          </cell>
          <cell r="D536" t="str">
            <v>Backpart</v>
          </cell>
          <cell r="E536" t="str">
            <v>Overlock Back &amp; front  top pannel</v>
          </cell>
          <cell r="F536" t="str">
            <v>M</v>
          </cell>
          <cell r="G536" t="str">
            <v>1N3TOL</v>
          </cell>
          <cell r="H536">
            <v>0.5</v>
          </cell>
          <cell r="I536">
            <v>120</v>
          </cell>
        </row>
        <row r="537">
          <cell r="A537">
            <v>533</v>
          </cell>
          <cell r="B537" t="str">
            <v>Mens</v>
          </cell>
          <cell r="C537">
            <v>6</v>
          </cell>
          <cell r="D537" t="str">
            <v>Backpart</v>
          </cell>
          <cell r="E537" t="str">
            <v>Close top &amp; middle  pannel</v>
          </cell>
          <cell r="F537" t="str">
            <v>M</v>
          </cell>
          <cell r="G537" t="str">
            <v>1N3TOL</v>
          </cell>
          <cell r="H537">
            <v>0.85</v>
          </cell>
          <cell r="I537">
            <v>70.588235294117652</v>
          </cell>
        </row>
        <row r="538">
          <cell r="A538">
            <v>534</v>
          </cell>
          <cell r="B538" t="str">
            <v>Mens</v>
          </cell>
          <cell r="C538">
            <v>6</v>
          </cell>
          <cell r="D538" t="str">
            <v>Backpart</v>
          </cell>
          <cell r="E538" t="str">
            <v>Make bake upper pannel bottom</v>
          </cell>
          <cell r="F538" t="str">
            <v>M</v>
          </cell>
          <cell r="G538" t="str">
            <v>2N4TLSUBT</v>
          </cell>
          <cell r="H538">
            <v>0.45</v>
          </cell>
          <cell r="I538">
            <v>133.33333333333334</v>
          </cell>
          <cell r="J538" t="str">
            <v>1/16" CL</v>
          </cell>
          <cell r="K538" t="str">
            <v>1/4"</v>
          </cell>
        </row>
        <row r="539">
          <cell r="A539">
            <v>535</v>
          </cell>
          <cell r="B539" t="str">
            <v>Mens</v>
          </cell>
          <cell r="C539">
            <v>6</v>
          </cell>
          <cell r="D539" t="str">
            <v>Backpart</v>
          </cell>
          <cell r="E539" t="str">
            <v>Attach back bottom &amp; contrast top pannel</v>
          </cell>
          <cell r="F539" t="str">
            <v>M</v>
          </cell>
          <cell r="G539" t="str">
            <v>2N5TOL</v>
          </cell>
          <cell r="H539">
            <v>0.45</v>
          </cell>
          <cell r="I539">
            <v>133.33333333333334</v>
          </cell>
          <cell r="K539" t="str">
            <v>1 cm</v>
          </cell>
        </row>
        <row r="540">
          <cell r="A540">
            <v>536</v>
          </cell>
          <cell r="B540" t="str">
            <v>Mens</v>
          </cell>
          <cell r="C540">
            <v>6</v>
          </cell>
          <cell r="D540" t="str">
            <v>Backpart</v>
          </cell>
          <cell r="E540" t="str">
            <v>Topstitch back bottom &amp; contrast pannel</v>
          </cell>
          <cell r="F540" t="str">
            <v>M</v>
          </cell>
          <cell r="G540" t="str">
            <v>2N4TLSUBT</v>
          </cell>
          <cell r="H540">
            <v>0.45</v>
          </cell>
          <cell r="I540">
            <v>133.33333333333334</v>
          </cell>
          <cell r="J540" t="str">
            <v>1/16" CR</v>
          </cell>
          <cell r="K540" t="str">
            <v>1/4"</v>
          </cell>
        </row>
        <row r="541">
          <cell r="A541">
            <v>537</v>
          </cell>
          <cell r="B541" t="str">
            <v>Mens</v>
          </cell>
          <cell r="C541">
            <v>6</v>
          </cell>
          <cell r="D541" t="str">
            <v>Backpart</v>
          </cell>
          <cell r="E541" t="str">
            <v>attach back top &amp; side pannel with contrast</v>
          </cell>
          <cell r="F541" t="str">
            <v>M</v>
          </cell>
          <cell r="G541" t="str">
            <v>1N2TLS-UBT</v>
          </cell>
          <cell r="H541">
            <v>0.75</v>
          </cell>
          <cell r="I541">
            <v>80</v>
          </cell>
        </row>
        <row r="542">
          <cell r="A542">
            <v>538</v>
          </cell>
          <cell r="B542" t="str">
            <v>Mens</v>
          </cell>
          <cell r="C542">
            <v>6</v>
          </cell>
          <cell r="D542" t="str">
            <v>Backpart</v>
          </cell>
          <cell r="E542" t="str">
            <v xml:space="preserve">Topstitch back top &amp; side pannel </v>
          </cell>
          <cell r="F542" t="str">
            <v>M</v>
          </cell>
          <cell r="G542" t="str">
            <v>2N4TLSUBT</v>
          </cell>
          <cell r="H542">
            <v>0.45</v>
          </cell>
          <cell r="I542">
            <v>133.33333333333334</v>
          </cell>
          <cell r="J542" t="str">
            <v>1/16" CR</v>
          </cell>
          <cell r="K542" t="str">
            <v>1/4"</v>
          </cell>
        </row>
        <row r="543">
          <cell r="A543">
            <v>539</v>
          </cell>
          <cell r="B543" t="str">
            <v>Mens</v>
          </cell>
          <cell r="C543">
            <v>6</v>
          </cell>
          <cell r="D543" t="str">
            <v>Backpart</v>
          </cell>
          <cell r="E543" t="str">
            <v>Attach back upper side 2nd pannel</v>
          </cell>
          <cell r="F543" t="str">
            <v>M</v>
          </cell>
          <cell r="G543" t="str">
            <v>2N5TOL</v>
          </cell>
          <cell r="H543">
            <v>0.45</v>
          </cell>
          <cell r="I543">
            <v>133.33333333333334</v>
          </cell>
        </row>
        <row r="544">
          <cell r="A544">
            <v>540</v>
          </cell>
          <cell r="B544" t="str">
            <v>Mens</v>
          </cell>
          <cell r="C544">
            <v>6</v>
          </cell>
          <cell r="D544" t="str">
            <v>Backpart</v>
          </cell>
          <cell r="E544" t="str">
            <v>Tack back  arm &amp; side &amp; back centre</v>
          </cell>
          <cell r="F544" t="str">
            <v>M</v>
          </cell>
          <cell r="G544" t="str">
            <v>1N2TLS-UBT</v>
          </cell>
          <cell r="H544">
            <v>0.65</v>
          </cell>
          <cell r="I544">
            <v>92.307692307692307</v>
          </cell>
        </row>
        <row r="545">
          <cell r="A545">
            <v>541</v>
          </cell>
          <cell r="B545" t="str">
            <v>Mens</v>
          </cell>
          <cell r="C545">
            <v>6</v>
          </cell>
          <cell r="D545" t="str">
            <v>Backpart</v>
          </cell>
          <cell r="E545" t="str">
            <v>Barttack at back part</v>
          </cell>
          <cell r="F545" t="str">
            <v>M</v>
          </cell>
          <cell r="G545" t="str">
            <v>1N2TBT-PG</v>
          </cell>
          <cell r="H545">
            <v>0.8</v>
          </cell>
          <cell r="I545">
            <v>75</v>
          </cell>
          <cell r="N545">
            <v>75</v>
          </cell>
        </row>
        <row r="546">
          <cell r="A546">
            <v>542</v>
          </cell>
          <cell r="B546" t="str">
            <v>Mens</v>
          </cell>
          <cell r="C546">
            <v>6</v>
          </cell>
          <cell r="D546" t="str">
            <v>Backpart</v>
          </cell>
          <cell r="E546" t="str">
            <v xml:space="preserve">Measure ,cut &amp; attach back neck tape </v>
          </cell>
          <cell r="F546" t="str">
            <v>M</v>
          </cell>
          <cell r="G546" t="str">
            <v>1N2TLS-UBT</v>
          </cell>
          <cell r="H546">
            <v>0.45</v>
          </cell>
          <cell r="I546">
            <v>133.33333333333334</v>
          </cell>
        </row>
        <row r="547">
          <cell r="A547">
            <v>543</v>
          </cell>
          <cell r="B547" t="str">
            <v>Mens</v>
          </cell>
          <cell r="C547">
            <v>6</v>
          </cell>
          <cell r="D547" t="str">
            <v>Backpart</v>
          </cell>
          <cell r="E547" t="str">
            <v>Back yoke attach jorjet</v>
          </cell>
          <cell r="F547" t="str">
            <v>M</v>
          </cell>
          <cell r="G547" t="str">
            <v>1N2TLS-UBT</v>
          </cell>
          <cell r="H547">
            <v>0.7</v>
          </cell>
          <cell r="I547">
            <v>85.714285714285722</v>
          </cell>
        </row>
        <row r="548">
          <cell r="A548">
            <v>544</v>
          </cell>
          <cell r="B548" t="str">
            <v>Mens</v>
          </cell>
          <cell r="C548">
            <v>6</v>
          </cell>
          <cell r="D548" t="str">
            <v>Backpart</v>
          </cell>
          <cell r="E548" t="str">
            <v>Back yoke topstitch jorjet</v>
          </cell>
          <cell r="F548" t="str">
            <v>M</v>
          </cell>
          <cell r="G548" t="str">
            <v>1N2TLS-UBT</v>
          </cell>
          <cell r="H548">
            <v>0.5</v>
          </cell>
          <cell r="I548">
            <v>120</v>
          </cell>
        </row>
        <row r="549">
          <cell r="A549">
            <v>545</v>
          </cell>
          <cell r="B549" t="str">
            <v>Mens</v>
          </cell>
          <cell r="C549">
            <v>6</v>
          </cell>
          <cell r="D549" t="str">
            <v>Backpart</v>
          </cell>
          <cell r="E549" t="str">
            <v>Make back central Pleate jorjet</v>
          </cell>
          <cell r="F549" t="str">
            <v>M</v>
          </cell>
          <cell r="G549" t="str">
            <v>1N2TLS-UBT</v>
          </cell>
          <cell r="H549">
            <v>0.45</v>
          </cell>
          <cell r="I549">
            <v>133.33333333333334</v>
          </cell>
        </row>
        <row r="550">
          <cell r="A550">
            <v>546</v>
          </cell>
          <cell r="B550" t="str">
            <v>Mens</v>
          </cell>
          <cell r="C550">
            <v>6</v>
          </cell>
          <cell r="D550" t="str">
            <v>Backpart</v>
          </cell>
          <cell r="E550" t="str">
            <v xml:space="preserve"> Side Vent Make jorjet</v>
          </cell>
          <cell r="F550" t="str">
            <v>M</v>
          </cell>
          <cell r="G550" t="str">
            <v>1N2TLS-UBT</v>
          </cell>
          <cell r="H550">
            <v>0.5</v>
          </cell>
          <cell r="I550">
            <v>120</v>
          </cell>
        </row>
        <row r="551">
          <cell r="A551">
            <v>547</v>
          </cell>
          <cell r="B551" t="str">
            <v>Mens</v>
          </cell>
          <cell r="C551">
            <v>6</v>
          </cell>
          <cell r="D551" t="str">
            <v>Backpart</v>
          </cell>
          <cell r="E551" t="str">
            <v xml:space="preserve">Attach back western yoke </v>
          </cell>
          <cell r="F551" t="str">
            <v>M</v>
          </cell>
          <cell r="G551" t="str">
            <v>1N2TLS-UBT</v>
          </cell>
          <cell r="H551">
            <v>0.45</v>
          </cell>
          <cell r="I551">
            <v>133.33333333333334</v>
          </cell>
        </row>
        <row r="552">
          <cell r="A552">
            <v>548</v>
          </cell>
          <cell r="B552" t="str">
            <v>Mens</v>
          </cell>
          <cell r="C552">
            <v>6</v>
          </cell>
          <cell r="D552" t="str">
            <v>Backpart</v>
          </cell>
          <cell r="E552" t="str">
            <v>Make back dart with topstitch x2</v>
          </cell>
          <cell r="F552" t="str">
            <v>M</v>
          </cell>
          <cell r="G552" t="str">
            <v>1N2TLS-UBT</v>
          </cell>
          <cell r="H552">
            <v>0.44</v>
          </cell>
          <cell r="I552">
            <v>136.36363636363637</v>
          </cell>
        </row>
        <row r="553">
          <cell r="A553">
            <v>549</v>
          </cell>
          <cell r="B553" t="str">
            <v>Mens</v>
          </cell>
          <cell r="C553">
            <v>6</v>
          </cell>
          <cell r="D553" t="str">
            <v>Backpart</v>
          </cell>
          <cell r="E553" t="str">
            <v>Sefty Stitch at Back neek w/Label</v>
          </cell>
          <cell r="F553" t="str">
            <v>M</v>
          </cell>
          <cell r="G553" t="str">
            <v>1N2TLS-UBT</v>
          </cell>
          <cell r="H553">
            <v>0.26</v>
          </cell>
          <cell r="I553">
            <v>230.76923076923077</v>
          </cell>
        </row>
        <row r="554">
          <cell r="A554">
            <v>550</v>
          </cell>
          <cell r="B554" t="str">
            <v>Mens</v>
          </cell>
          <cell r="C554">
            <v>6</v>
          </cell>
          <cell r="D554" t="str">
            <v>Backpart</v>
          </cell>
        </row>
        <row r="555">
          <cell r="A555">
            <v>551</v>
          </cell>
          <cell r="B555" t="str">
            <v>Mens</v>
          </cell>
          <cell r="C555">
            <v>6</v>
          </cell>
          <cell r="D555" t="str">
            <v>Backpart</v>
          </cell>
        </row>
        <row r="556">
          <cell r="A556">
            <v>552</v>
          </cell>
          <cell r="B556" t="str">
            <v>Mens</v>
          </cell>
          <cell r="C556">
            <v>6</v>
          </cell>
          <cell r="D556" t="str">
            <v>Backpart</v>
          </cell>
        </row>
        <row r="557">
          <cell r="A557">
            <v>553</v>
          </cell>
          <cell r="B557" t="str">
            <v>Mens</v>
          </cell>
          <cell r="C557">
            <v>6</v>
          </cell>
          <cell r="D557" t="str">
            <v>Backpart</v>
          </cell>
        </row>
        <row r="558">
          <cell r="A558">
            <v>554</v>
          </cell>
          <cell r="B558" t="str">
            <v>Mens</v>
          </cell>
          <cell r="C558">
            <v>6</v>
          </cell>
          <cell r="D558" t="str">
            <v>Backpart</v>
          </cell>
        </row>
        <row r="559">
          <cell r="A559">
            <v>555</v>
          </cell>
          <cell r="B559" t="str">
            <v>Mens</v>
          </cell>
          <cell r="C559">
            <v>6</v>
          </cell>
          <cell r="D559" t="str">
            <v>Backpart</v>
          </cell>
        </row>
        <row r="560">
          <cell r="A560">
            <v>556</v>
          </cell>
          <cell r="B560" t="str">
            <v>Mens</v>
          </cell>
          <cell r="C560">
            <v>6</v>
          </cell>
          <cell r="D560" t="str">
            <v>Backpart</v>
          </cell>
        </row>
        <row r="561">
          <cell r="A561">
            <v>557</v>
          </cell>
          <cell r="B561" t="str">
            <v>Mens</v>
          </cell>
          <cell r="C561">
            <v>6</v>
          </cell>
          <cell r="D561" t="str">
            <v>Backpart</v>
          </cell>
        </row>
        <row r="562">
          <cell r="A562">
            <v>558</v>
          </cell>
          <cell r="B562" t="str">
            <v>Mens</v>
          </cell>
          <cell r="C562">
            <v>6</v>
          </cell>
          <cell r="D562" t="str">
            <v>Backpart</v>
          </cell>
        </row>
        <row r="563">
          <cell r="A563">
            <v>559</v>
          </cell>
          <cell r="B563" t="str">
            <v>Mens</v>
          </cell>
          <cell r="C563">
            <v>6</v>
          </cell>
          <cell r="D563" t="str">
            <v>Backpart</v>
          </cell>
        </row>
        <row r="564">
          <cell r="A564">
            <v>560</v>
          </cell>
          <cell r="B564" t="str">
            <v>Mens</v>
          </cell>
          <cell r="C564">
            <v>6</v>
          </cell>
          <cell r="D564" t="str">
            <v>Backpart</v>
          </cell>
        </row>
        <row r="565">
          <cell r="A565">
            <v>561</v>
          </cell>
          <cell r="B565" t="str">
            <v>Mens</v>
          </cell>
          <cell r="C565">
            <v>6</v>
          </cell>
          <cell r="D565" t="str">
            <v>Backpart</v>
          </cell>
        </row>
        <row r="566">
          <cell r="A566">
            <v>562</v>
          </cell>
          <cell r="B566" t="str">
            <v>Mens</v>
          </cell>
          <cell r="C566">
            <v>6</v>
          </cell>
          <cell r="D566" t="str">
            <v>Backpart</v>
          </cell>
        </row>
        <row r="567">
          <cell r="A567">
            <v>563</v>
          </cell>
          <cell r="B567" t="str">
            <v>Mens</v>
          </cell>
          <cell r="C567">
            <v>6</v>
          </cell>
          <cell r="D567" t="str">
            <v>Backpart</v>
          </cell>
        </row>
        <row r="568">
          <cell r="A568">
            <v>564</v>
          </cell>
          <cell r="B568" t="str">
            <v>Mens</v>
          </cell>
          <cell r="C568">
            <v>6</v>
          </cell>
          <cell r="D568" t="str">
            <v>Backpart</v>
          </cell>
        </row>
        <row r="569">
          <cell r="A569">
            <v>565</v>
          </cell>
          <cell r="B569" t="str">
            <v>Mens</v>
          </cell>
          <cell r="C569">
            <v>6</v>
          </cell>
          <cell r="D569" t="str">
            <v>Backpart</v>
          </cell>
        </row>
        <row r="570">
          <cell r="A570">
            <v>566</v>
          </cell>
          <cell r="B570" t="str">
            <v>Mens</v>
          </cell>
          <cell r="C570">
            <v>6</v>
          </cell>
          <cell r="D570" t="str">
            <v>Backpart</v>
          </cell>
        </row>
        <row r="571">
          <cell r="A571">
            <v>567</v>
          </cell>
          <cell r="B571" t="str">
            <v>Mens</v>
          </cell>
          <cell r="C571">
            <v>6</v>
          </cell>
          <cell r="D571" t="str">
            <v>Backpart</v>
          </cell>
        </row>
        <row r="572">
          <cell r="A572">
            <v>568</v>
          </cell>
          <cell r="B572" t="str">
            <v>Mens</v>
          </cell>
          <cell r="C572">
            <v>6</v>
          </cell>
          <cell r="D572" t="str">
            <v>Backpart</v>
          </cell>
        </row>
        <row r="573">
          <cell r="A573">
            <v>569</v>
          </cell>
          <cell r="B573" t="str">
            <v>Mens</v>
          </cell>
          <cell r="C573">
            <v>6</v>
          </cell>
          <cell r="D573" t="str">
            <v>Backpart</v>
          </cell>
        </row>
        <row r="574">
          <cell r="A574">
            <v>570</v>
          </cell>
          <cell r="B574" t="str">
            <v>Mens</v>
          </cell>
          <cell r="C574">
            <v>6</v>
          </cell>
          <cell r="D574" t="str">
            <v>Backpart</v>
          </cell>
        </row>
        <row r="575">
          <cell r="A575">
            <v>571</v>
          </cell>
          <cell r="B575" t="str">
            <v>Mens</v>
          </cell>
          <cell r="C575">
            <v>6</v>
          </cell>
          <cell r="D575" t="str">
            <v>Backpart</v>
          </cell>
        </row>
        <row r="576">
          <cell r="A576">
            <v>572</v>
          </cell>
          <cell r="B576" t="str">
            <v>Mens</v>
          </cell>
          <cell r="C576">
            <v>6</v>
          </cell>
          <cell r="D576" t="str">
            <v>Backpart</v>
          </cell>
        </row>
        <row r="577">
          <cell r="A577">
            <v>573</v>
          </cell>
          <cell r="B577" t="str">
            <v>Mens</v>
          </cell>
          <cell r="C577">
            <v>6</v>
          </cell>
          <cell r="D577" t="str">
            <v>Backpart</v>
          </cell>
        </row>
        <row r="578">
          <cell r="A578">
            <v>574</v>
          </cell>
          <cell r="B578" t="str">
            <v>Mens</v>
          </cell>
          <cell r="C578">
            <v>6</v>
          </cell>
          <cell r="D578" t="str">
            <v>Backpart</v>
          </cell>
        </row>
        <row r="579">
          <cell r="A579">
            <v>575</v>
          </cell>
          <cell r="B579" t="str">
            <v>Mens</v>
          </cell>
          <cell r="C579">
            <v>6</v>
          </cell>
          <cell r="D579" t="str">
            <v>Backpart</v>
          </cell>
        </row>
        <row r="580">
          <cell r="A580">
            <v>576</v>
          </cell>
          <cell r="B580" t="str">
            <v>Mens</v>
          </cell>
          <cell r="C580">
            <v>6</v>
          </cell>
          <cell r="D580" t="str">
            <v>Backpart</v>
          </cell>
        </row>
        <row r="581">
          <cell r="A581">
            <v>577</v>
          </cell>
          <cell r="B581" t="str">
            <v>Mens</v>
          </cell>
          <cell r="C581">
            <v>6</v>
          </cell>
          <cell r="D581" t="str">
            <v>Backpart</v>
          </cell>
        </row>
        <row r="582">
          <cell r="A582">
            <v>578</v>
          </cell>
          <cell r="B582" t="str">
            <v>Mens</v>
          </cell>
          <cell r="C582">
            <v>6</v>
          </cell>
          <cell r="D582" t="str">
            <v>Backpart</v>
          </cell>
        </row>
        <row r="583">
          <cell r="A583">
            <v>579</v>
          </cell>
          <cell r="B583" t="str">
            <v>Mens</v>
          </cell>
          <cell r="C583">
            <v>6</v>
          </cell>
          <cell r="D583" t="str">
            <v>Backpart</v>
          </cell>
        </row>
        <row r="584">
          <cell r="A584">
            <v>580</v>
          </cell>
          <cell r="B584" t="str">
            <v>Mens</v>
          </cell>
          <cell r="C584">
            <v>6</v>
          </cell>
          <cell r="D584" t="str">
            <v>Backpart</v>
          </cell>
        </row>
        <row r="585">
          <cell r="A585">
            <v>581</v>
          </cell>
          <cell r="B585" t="str">
            <v>Mens</v>
          </cell>
          <cell r="C585">
            <v>6</v>
          </cell>
          <cell r="D585" t="str">
            <v>Backpart</v>
          </cell>
        </row>
        <row r="586">
          <cell r="A586">
            <v>582</v>
          </cell>
          <cell r="B586" t="str">
            <v>Mens</v>
          </cell>
          <cell r="C586">
            <v>6</v>
          </cell>
          <cell r="D586" t="str">
            <v>Backpart</v>
          </cell>
        </row>
        <row r="587">
          <cell r="A587">
            <v>583</v>
          </cell>
          <cell r="B587" t="str">
            <v>Mens</v>
          </cell>
          <cell r="C587">
            <v>6</v>
          </cell>
          <cell r="D587" t="str">
            <v>Backpart</v>
          </cell>
        </row>
        <row r="588">
          <cell r="A588">
            <v>584</v>
          </cell>
          <cell r="B588" t="str">
            <v>Mens</v>
          </cell>
          <cell r="C588">
            <v>6</v>
          </cell>
          <cell r="D588" t="str">
            <v>Backpart</v>
          </cell>
        </row>
        <row r="589">
          <cell r="A589">
            <v>585</v>
          </cell>
          <cell r="B589" t="str">
            <v>Mens</v>
          </cell>
          <cell r="C589">
            <v>6</v>
          </cell>
          <cell r="D589" t="str">
            <v>Backpart</v>
          </cell>
        </row>
        <row r="590">
          <cell r="A590">
            <v>586</v>
          </cell>
          <cell r="B590" t="str">
            <v>Mens</v>
          </cell>
          <cell r="C590">
            <v>6</v>
          </cell>
          <cell r="D590" t="str">
            <v>Backpart</v>
          </cell>
        </row>
        <row r="591">
          <cell r="A591">
            <v>587</v>
          </cell>
          <cell r="B591" t="str">
            <v>Mens</v>
          </cell>
          <cell r="C591">
            <v>6</v>
          </cell>
          <cell r="D591" t="str">
            <v>Backpart</v>
          </cell>
        </row>
        <row r="592">
          <cell r="A592">
            <v>588</v>
          </cell>
          <cell r="B592" t="str">
            <v>Mens</v>
          </cell>
          <cell r="C592">
            <v>6</v>
          </cell>
          <cell r="D592" t="str">
            <v>Backpart</v>
          </cell>
        </row>
        <row r="593">
          <cell r="A593">
            <v>589</v>
          </cell>
          <cell r="B593" t="str">
            <v>Mens</v>
          </cell>
          <cell r="C593">
            <v>6</v>
          </cell>
          <cell r="D593" t="str">
            <v>Backpart</v>
          </cell>
        </row>
        <row r="594">
          <cell r="A594">
            <v>590</v>
          </cell>
          <cell r="B594" t="str">
            <v>Mens</v>
          </cell>
          <cell r="C594">
            <v>6</v>
          </cell>
          <cell r="D594" t="str">
            <v>Backpart</v>
          </cell>
        </row>
        <row r="595">
          <cell r="A595">
            <v>591</v>
          </cell>
          <cell r="B595" t="str">
            <v>Mens</v>
          </cell>
          <cell r="C595">
            <v>6</v>
          </cell>
          <cell r="D595" t="str">
            <v>Backpart</v>
          </cell>
        </row>
        <row r="596">
          <cell r="A596">
            <v>592</v>
          </cell>
          <cell r="B596" t="str">
            <v>Mens</v>
          </cell>
          <cell r="C596">
            <v>6</v>
          </cell>
          <cell r="D596" t="str">
            <v>Backpart</v>
          </cell>
        </row>
        <row r="597">
          <cell r="A597">
            <v>593</v>
          </cell>
          <cell r="B597" t="str">
            <v>Mens</v>
          </cell>
          <cell r="C597">
            <v>6</v>
          </cell>
          <cell r="D597" t="str">
            <v>Backpart</v>
          </cell>
        </row>
        <row r="598">
          <cell r="A598">
            <v>594</v>
          </cell>
          <cell r="B598" t="str">
            <v>Mens</v>
          </cell>
          <cell r="C598">
            <v>6</v>
          </cell>
          <cell r="D598" t="str">
            <v>Backpart</v>
          </cell>
        </row>
        <row r="599">
          <cell r="A599">
            <v>595</v>
          </cell>
          <cell r="B599" t="str">
            <v>Mens</v>
          </cell>
          <cell r="C599">
            <v>6</v>
          </cell>
          <cell r="D599" t="str">
            <v>Backpart</v>
          </cell>
        </row>
        <row r="600">
          <cell r="A600">
            <v>596</v>
          </cell>
          <cell r="B600" t="str">
            <v>Mens</v>
          </cell>
          <cell r="C600">
            <v>6</v>
          </cell>
          <cell r="D600" t="str">
            <v>Backpart</v>
          </cell>
        </row>
        <row r="601">
          <cell r="A601">
            <v>597</v>
          </cell>
          <cell r="B601" t="str">
            <v>Mens</v>
          </cell>
          <cell r="C601">
            <v>6</v>
          </cell>
          <cell r="D601" t="str">
            <v>Backpart</v>
          </cell>
        </row>
        <row r="602">
          <cell r="A602">
            <v>598</v>
          </cell>
          <cell r="B602" t="str">
            <v>Mens</v>
          </cell>
          <cell r="C602">
            <v>6</v>
          </cell>
          <cell r="D602" t="str">
            <v>Backpart</v>
          </cell>
        </row>
        <row r="603">
          <cell r="A603">
            <v>599</v>
          </cell>
          <cell r="B603" t="str">
            <v>Mens</v>
          </cell>
          <cell r="C603">
            <v>6</v>
          </cell>
          <cell r="D603" t="str">
            <v>Backpart</v>
          </cell>
        </row>
        <row r="604">
          <cell r="A604">
            <v>600</v>
          </cell>
          <cell r="B604" t="str">
            <v>Mens</v>
          </cell>
          <cell r="C604">
            <v>6</v>
          </cell>
          <cell r="D604" t="str">
            <v>Backpart</v>
          </cell>
        </row>
        <row r="605">
          <cell r="A605">
            <v>601</v>
          </cell>
          <cell r="B605" t="str">
            <v>Mens</v>
          </cell>
          <cell r="C605">
            <v>6</v>
          </cell>
          <cell r="D605" t="str">
            <v>Backpart</v>
          </cell>
        </row>
        <row r="606">
          <cell r="A606">
            <v>602</v>
          </cell>
          <cell r="B606" t="str">
            <v>Mens</v>
          </cell>
          <cell r="C606">
            <v>6</v>
          </cell>
          <cell r="D606" t="str">
            <v>Backpart</v>
          </cell>
        </row>
        <row r="607">
          <cell r="A607">
            <v>603</v>
          </cell>
          <cell r="B607" t="str">
            <v>Mens</v>
          </cell>
          <cell r="C607">
            <v>6</v>
          </cell>
          <cell r="D607" t="str">
            <v>Backpart</v>
          </cell>
        </row>
        <row r="608">
          <cell r="A608">
            <v>604</v>
          </cell>
          <cell r="B608" t="str">
            <v>Mens</v>
          </cell>
          <cell r="C608">
            <v>6</v>
          </cell>
          <cell r="D608" t="str">
            <v>Backpart</v>
          </cell>
        </row>
        <row r="609">
          <cell r="A609">
            <v>605</v>
          </cell>
          <cell r="B609" t="str">
            <v>Mens</v>
          </cell>
          <cell r="C609">
            <v>6</v>
          </cell>
          <cell r="D609" t="str">
            <v>Backpart</v>
          </cell>
        </row>
        <row r="610">
          <cell r="A610">
            <v>606</v>
          </cell>
          <cell r="B610" t="str">
            <v>Mens</v>
          </cell>
          <cell r="C610">
            <v>6</v>
          </cell>
          <cell r="D610" t="str">
            <v>Backpart</v>
          </cell>
        </row>
        <row r="611">
          <cell r="A611">
            <v>607</v>
          </cell>
          <cell r="B611" t="str">
            <v>Mens</v>
          </cell>
          <cell r="C611">
            <v>6</v>
          </cell>
          <cell r="D611" t="str">
            <v>Backpart</v>
          </cell>
        </row>
        <row r="612">
          <cell r="A612">
            <v>608</v>
          </cell>
          <cell r="B612" t="str">
            <v>Mens</v>
          </cell>
          <cell r="C612">
            <v>6</v>
          </cell>
          <cell r="D612" t="str">
            <v>Backpart</v>
          </cell>
        </row>
        <row r="613">
          <cell r="A613">
            <v>609</v>
          </cell>
          <cell r="B613" t="str">
            <v>Mens</v>
          </cell>
          <cell r="C613">
            <v>6</v>
          </cell>
          <cell r="D613" t="str">
            <v>Backpart</v>
          </cell>
        </row>
        <row r="614">
          <cell r="A614">
            <v>610</v>
          </cell>
          <cell r="B614" t="str">
            <v>Mens</v>
          </cell>
          <cell r="C614">
            <v>6</v>
          </cell>
          <cell r="D614" t="str">
            <v>Backpart</v>
          </cell>
        </row>
        <row r="615">
          <cell r="A615">
            <v>611</v>
          </cell>
          <cell r="B615" t="str">
            <v>Mens</v>
          </cell>
          <cell r="C615">
            <v>6</v>
          </cell>
          <cell r="D615" t="str">
            <v>Backpart</v>
          </cell>
        </row>
        <row r="616">
          <cell r="A616">
            <v>612</v>
          </cell>
          <cell r="B616" t="str">
            <v>Mens</v>
          </cell>
          <cell r="C616">
            <v>6</v>
          </cell>
          <cell r="D616" t="str">
            <v>Backpart</v>
          </cell>
        </row>
        <row r="617">
          <cell r="A617">
            <v>613</v>
          </cell>
          <cell r="B617" t="str">
            <v>Mens</v>
          </cell>
          <cell r="C617">
            <v>6</v>
          </cell>
          <cell r="D617" t="str">
            <v>Backpart</v>
          </cell>
        </row>
        <row r="618">
          <cell r="A618">
            <v>614</v>
          </cell>
          <cell r="B618" t="str">
            <v>Mens</v>
          </cell>
          <cell r="C618">
            <v>6</v>
          </cell>
          <cell r="D618" t="str">
            <v>Backpart</v>
          </cell>
        </row>
        <row r="619">
          <cell r="A619">
            <v>615</v>
          </cell>
          <cell r="B619" t="str">
            <v>Mens</v>
          </cell>
          <cell r="C619">
            <v>6</v>
          </cell>
          <cell r="D619" t="str">
            <v>Backpart</v>
          </cell>
        </row>
        <row r="620">
          <cell r="A620">
            <v>616</v>
          </cell>
          <cell r="B620" t="str">
            <v>Mens</v>
          </cell>
          <cell r="C620">
            <v>6</v>
          </cell>
          <cell r="D620" t="str">
            <v>Backpart</v>
          </cell>
        </row>
        <row r="621">
          <cell r="A621">
            <v>617</v>
          </cell>
          <cell r="B621" t="str">
            <v>Mens</v>
          </cell>
          <cell r="C621">
            <v>6</v>
          </cell>
          <cell r="D621" t="str">
            <v>Backpart</v>
          </cell>
        </row>
        <row r="622">
          <cell r="A622">
            <v>618</v>
          </cell>
          <cell r="B622" t="str">
            <v>Mens</v>
          </cell>
          <cell r="C622">
            <v>6</v>
          </cell>
          <cell r="D622" t="str">
            <v>Backpart</v>
          </cell>
        </row>
        <row r="623">
          <cell r="A623">
            <v>619</v>
          </cell>
          <cell r="B623" t="str">
            <v>Mens</v>
          </cell>
          <cell r="C623">
            <v>6</v>
          </cell>
          <cell r="D623" t="str">
            <v>Backpart</v>
          </cell>
        </row>
        <row r="624">
          <cell r="A624">
            <v>620</v>
          </cell>
          <cell r="B624" t="str">
            <v>Mens</v>
          </cell>
          <cell r="C624">
            <v>6</v>
          </cell>
          <cell r="D624" t="str">
            <v>Backpart</v>
          </cell>
        </row>
        <row r="625">
          <cell r="A625">
            <v>621</v>
          </cell>
          <cell r="B625" t="str">
            <v>Mens</v>
          </cell>
          <cell r="C625">
            <v>6</v>
          </cell>
          <cell r="D625" t="str">
            <v>Backpart</v>
          </cell>
        </row>
        <row r="626">
          <cell r="A626">
            <v>622</v>
          </cell>
          <cell r="B626" t="str">
            <v>Mens</v>
          </cell>
          <cell r="C626">
            <v>6</v>
          </cell>
          <cell r="D626" t="str">
            <v>Backpart</v>
          </cell>
        </row>
        <row r="627">
          <cell r="A627">
            <v>623</v>
          </cell>
          <cell r="B627" t="str">
            <v>Mens</v>
          </cell>
          <cell r="C627">
            <v>6</v>
          </cell>
          <cell r="D627" t="str">
            <v>Backpart</v>
          </cell>
        </row>
        <row r="628">
          <cell r="A628">
            <v>624</v>
          </cell>
          <cell r="B628" t="str">
            <v>Mens</v>
          </cell>
          <cell r="C628">
            <v>6</v>
          </cell>
          <cell r="D628" t="str">
            <v>Backpart</v>
          </cell>
        </row>
        <row r="629">
          <cell r="A629">
            <v>625</v>
          </cell>
          <cell r="B629" t="str">
            <v>Mens</v>
          </cell>
          <cell r="C629">
            <v>6</v>
          </cell>
          <cell r="D629" t="str">
            <v>Backpart</v>
          </cell>
        </row>
        <row r="630">
          <cell r="A630">
            <v>626</v>
          </cell>
          <cell r="B630" t="str">
            <v>Mens</v>
          </cell>
          <cell r="C630">
            <v>6</v>
          </cell>
          <cell r="D630" t="str">
            <v>Backpart</v>
          </cell>
        </row>
        <row r="631">
          <cell r="A631">
            <v>627</v>
          </cell>
          <cell r="B631" t="str">
            <v>Mens</v>
          </cell>
          <cell r="C631">
            <v>6</v>
          </cell>
          <cell r="D631" t="str">
            <v>Backpart</v>
          </cell>
        </row>
        <row r="632">
          <cell r="A632">
            <v>628</v>
          </cell>
          <cell r="B632" t="str">
            <v>Mens</v>
          </cell>
          <cell r="C632">
            <v>6</v>
          </cell>
          <cell r="D632" t="str">
            <v>Backpart</v>
          </cell>
        </row>
        <row r="633">
          <cell r="A633">
            <v>629</v>
          </cell>
          <cell r="B633" t="str">
            <v>Mens</v>
          </cell>
          <cell r="C633">
            <v>6</v>
          </cell>
          <cell r="D633" t="str">
            <v>Backpart</v>
          </cell>
        </row>
        <row r="634">
          <cell r="A634">
            <v>630</v>
          </cell>
          <cell r="B634" t="str">
            <v>Mens</v>
          </cell>
          <cell r="C634">
            <v>6</v>
          </cell>
          <cell r="D634" t="str">
            <v>Backpart</v>
          </cell>
        </row>
        <row r="635">
          <cell r="A635">
            <v>631</v>
          </cell>
          <cell r="B635" t="str">
            <v>Mens</v>
          </cell>
          <cell r="C635">
            <v>6</v>
          </cell>
          <cell r="D635" t="str">
            <v>Backpart</v>
          </cell>
        </row>
        <row r="636">
          <cell r="A636">
            <v>632</v>
          </cell>
          <cell r="B636" t="str">
            <v>Mens</v>
          </cell>
          <cell r="C636">
            <v>6</v>
          </cell>
          <cell r="D636" t="str">
            <v>Backpart</v>
          </cell>
        </row>
        <row r="637">
          <cell r="A637">
            <v>633</v>
          </cell>
          <cell r="B637" t="str">
            <v>Mens</v>
          </cell>
          <cell r="C637">
            <v>6</v>
          </cell>
          <cell r="D637" t="str">
            <v>Backpart</v>
          </cell>
        </row>
        <row r="638">
          <cell r="A638">
            <v>634</v>
          </cell>
          <cell r="B638" t="str">
            <v>Mens</v>
          </cell>
          <cell r="C638">
            <v>6</v>
          </cell>
          <cell r="D638" t="str">
            <v>Backpart</v>
          </cell>
        </row>
        <row r="639">
          <cell r="A639">
            <v>635</v>
          </cell>
          <cell r="B639" t="str">
            <v>Mens</v>
          </cell>
          <cell r="C639">
            <v>6</v>
          </cell>
          <cell r="D639" t="str">
            <v>Backpart</v>
          </cell>
        </row>
        <row r="640">
          <cell r="A640">
            <v>636</v>
          </cell>
          <cell r="B640" t="str">
            <v>Mens</v>
          </cell>
          <cell r="C640">
            <v>6</v>
          </cell>
          <cell r="D640" t="str">
            <v>Backpart</v>
          </cell>
        </row>
        <row r="641">
          <cell r="A641">
            <v>637</v>
          </cell>
          <cell r="B641" t="str">
            <v>Mens</v>
          </cell>
          <cell r="C641">
            <v>6</v>
          </cell>
          <cell r="D641" t="str">
            <v>Backpart</v>
          </cell>
        </row>
        <row r="642">
          <cell r="A642">
            <v>638</v>
          </cell>
          <cell r="B642" t="str">
            <v>Mens</v>
          </cell>
          <cell r="C642">
            <v>6</v>
          </cell>
          <cell r="D642" t="str">
            <v>Front part</v>
          </cell>
          <cell r="E642" t="str">
            <v>Make front dart with topstitch x2</v>
          </cell>
          <cell r="F642" t="str">
            <v>M</v>
          </cell>
          <cell r="G642" t="str">
            <v>1N2TLS-UBT</v>
          </cell>
          <cell r="H642">
            <v>0.46</v>
          </cell>
          <cell r="I642">
            <v>130.43478260869566</v>
          </cell>
        </row>
        <row r="643">
          <cell r="A643">
            <v>639</v>
          </cell>
          <cell r="B643" t="str">
            <v>Mens</v>
          </cell>
          <cell r="C643">
            <v>6</v>
          </cell>
          <cell r="D643" t="str">
            <v>Front part</v>
          </cell>
          <cell r="E643" t="str">
            <v>Iron front westrn yoke "V" x2</v>
          </cell>
          <cell r="F643" t="str">
            <v>I</v>
          </cell>
          <cell r="G643" t="str">
            <v>Iron Table</v>
          </cell>
          <cell r="H643">
            <v>0.5</v>
          </cell>
          <cell r="I643">
            <v>120</v>
          </cell>
          <cell r="L643" t="str">
            <v>check</v>
          </cell>
        </row>
        <row r="644">
          <cell r="A644">
            <v>640</v>
          </cell>
          <cell r="B644" t="str">
            <v>Mens</v>
          </cell>
          <cell r="C644">
            <v>6</v>
          </cell>
          <cell r="D644" t="str">
            <v>Front part</v>
          </cell>
          <cell r="E644" t="str">
            <v>Iron front western yoke  x2</v>
          </cell>
          <cell r="F644" t="str">
            <v>I</v>
          </cell>
          <cell r="G644" t="str">
            <v>Iron Table</v>
          </cell>
          <cell r="H644">
            <v>0.3</v>
          </cell>
          <cell r="I644">
            <v>200</v>
          </cell>
        </row>
        <row r="645">
          <cell r="A645">
            <v>641</v>
          </cell>
          <cell r="B645" t="str">
            <v>Mens</v>
          </cell>
          <cell r="C645">
            <v>6</v>
          </cell>
          <cell r="D645" t="str">
            <v>Front part</v>
          </cell>
          <cell r="E645" t="str">
            <v>Overlock front opening</v>
          </cell>
          <cell r="F645" t="str">
            <v>M</v>
          </cell>
          <cell r="G645" t="str">
            <v>2N5TOL</v>
          </cell>
          <cell r="H645">
            <v>0.6</v>
          </cell>
          <cell r="I645">
            <v>100</v>
          </cell>
        </row>
        <row r="646">
          <cell r="A646">
            <v>642</v>
          </cell>
          <cell r="B646" t="str">
            <v>Mens</v>
          </cell>
          <cell r="C646">
            <v>6</v>
          </cell>
          <cell r="D646" t="str">
            <v>Front part</v>
          </cell>
          <cell r="E646" t="str">
            <v>Sharing front shoulder</v>
          </cell>
          <cell r="F646" t="str">
            <v>M</v>
          </cell>
          <cell r="G646" t="str">
            <v>1N2TLS-UBT</v>
          </cell>
          <cell r="H646">
            <v>0.5</v>
          </cell>
          <cell r="I646">
            <v>120</v>
          </cell>
        </row>
        <row r="647">
          <cell r="A647">
            <v>643</v>
          </cell>
          <cell r="B647" t="str">
            <v>Mens</v>
          </cell>
          <cell r="C647">
            <v>6</v>
          </cell>
          <cell r="D647" t="str">
            <v>Front part</v>
          </cell>
          <cell r="E647" t="str">
            <v>Press front top  placket with D/F</v>
          </cell>
          <cell r="F647" t="str">
            <v>I</v>
          </cell>
          <cell r="G647" t="str">
            <v>Iron Table</v>
          </cell>
          <cell r="H647">
            <v>0.6</v>
          </cell>
          <cell r="I647">
            <v>100</v>
          </cell>
        </row>
        <row r="648">
          <cell r="A648">
            <v>644</v>
          </cell>
          <cell r="B648" t="str">
            <v>Mens</v>
          </cell>
          <cell r="C648">
            <v>7</v>
          </cell>
          <cell r="D648" t="str">
            <v>Front part</v>
          </cell>
          <cell r="E648" t="str">
            <v xml:space="preserve">Press front top  placket </v>
          </cell>
          <cell r="F648" t="str">
            <v>I</v>
          </cell>
          <cell r="G648" t="str">
            <v>Iron Table</v>
          </cell>
          <cell r="H648">
            <v>0.4</v>
          </cell>
          <cell r="I648">
            <v>150</v>
          </cell>
        </row>
        <row r="649">
          <cell r="A649">
            <v>645</v>
          </cell>
          <cell r="B649" t="str">
            <v>Mens</v>
          </cell>
          <cell r="C649">
            <v>7</v>
          </cell>
          <cell r="D649" t="str">
            <v>Front part</v>
          </cell>
          <cell r="E649" t="str">
            <v>Tack &amp; make front placket upper pannel</v>
          </cell>
          <cell r="F649" t="str">
            <v>M</v>
          </cell>
          <cell r="G649" t="str">
            <v>1N2TLS-UBT</v>
          </cell>
          <cell r="H649">
            <v>0.75</v>
          </cell>
          <cell r="I649">
            <v>80</v>
          </cell>
        </row>
        <row r="650">
          <cell r="A650">
            <v>646</v>
          </cell>
          <cell r="B650" t="str">
            <v>Mens</v>
          </cell>
          <cell r="C650">
            <v>7</v>
          </cell>
          <cell r="D650" t="str">
            <v>Front part</v>
          </cell>
          <cell r="E650" t="str">
            <v xml:space="preserve">Make front top placket </v>
          </cell>
          <cell r="F650" t="str">
            <v>M</v>
          </cell>
          <cell r="G650" t="str">
            <v>1N2TLS-UBT</v>
          </cell>
          <cell r="H650">
            <v>0.43</v>
          </cell>
          <cell r="I650">
            <v>139.53488372093022</v>
          </cell>
        </row>
        <row r="651">
          <cell r="A651">
            <v>647</v>
          </cell>
          <cell r="B651" t="str">
            <v>Mens</v>
          </cell>
          <cell r="C651">
            <v>7</v>
          </cell>
          <cell r="D651" t="str">
            <v>Front part</v>
          </cell>
          <cell r="E651" t="str">
            <v xml:space="preserve">Tack front top &amp; btm placket </v>
          </cell>
          <cell r="F651" t="str">
            <v>M</v>
          </cell>
          <cell r="G651" t="str">
            <v>1N2TLS-UBT</v>
          </cell>
          <cell r="H651">
            <v>0.4</v>
          </cell>
          <cell r="I651">
            <v>150</v>
          </cell>
        </row>
        <row r="652">
          <cell r="A652">
            <v>648</v>
          </cell>
          <cell r="B652" t="str">
            <v>Mens</v>
          </cell>
          <cell r="C652">
            <v>7</v>
          </cell>
          <cell r="D652" t="str">
            <v>Front part</v>
          </cell>
          <cell r="E652" t="str">
            <v>Mark front  Placket for attach</v>
          </cell>
          <cell r="F652" t="str">
            <v>H</v>
          </cell>
          <cell r="G652" t="str">
            <v>Plain Table</v>
          </cell>
          <cell r="H652">
            <v>0.3</v>
          </cell>
          <cell r="I652">
            <v>200</v>
          </cell>
        </row>
        <row r="653">
          <cell r="A653">
            <v>649</v>
          </cell>
          <cell r="B653" t="str">
            <v>Mens</v>
          </cell>
          <cell r="C653">
            <v>7</v>
          </cell>
          <cell r="D653" t="str">
            <v>Front part</v>
          </cell>
          <cell r="E653" t="str">
            <v>Topstitch front top  placket x1</v>
          </cell>
          <cell r="F653" t="str">
            <v>M</v>
          </cell>
          <cell r="G653" t="str">
            <v>1N2TLS-UBT</v>
          </cell>
          <cell r="H653">
            <v>0.95</v>
          </cell>
          <cell r="I653">
            <v>63.15789473684211</v>
          </cell>
        </row>
        <row r="654">
          <cell r="A654">
            <v>650</v>
          </cell>
          <cell r="B654" t="str">
            <v>Mens</v>
          </cell>
          <cell r="C654">
            <v>7</v>
          </cell>
          <cell r="D654" t="str">
            <v>Front part</v>
          </cell>
          <cell r="E654" t="str">
            <v>Topstitch front btm placket x2</v>
          </cell>
          <cell r="F654" t="str">
            <v>M</v>
          </cell>
          <cell r="G654" t="str">
            <v>1N2TLS-UBT</v>
          </cell>
          <cell r="H654">
            <v>0.75</v>
          </cell>
          <cell r="I654">
            <v>80</v>
          </cell>
        </row>
        <row r="655">
          <cell r="A655">
            <v>651</v>
          </cell>
          <cell r="B655" t="str">
            <v>Mens</v>
          </cell>
          <cell r="C655">
            <v>7</v>
          </cell>
          <cell r="D655" t="str">
            <v>Front part</v>
          </cell>
          <cell r="E655" t="str">
            <v>Tack front  placket at collar side</v>
          </cell>
          <cell r="F655" t="str">
            <v>M</v>
          </cell>
          <cell r="G655" t="str">
            <v>1N2TLS-UBT</v>
          </cell>
          <cell r="H655">
            <v>0.5</v>
          </cell>
          <cell r="I655">
            <v>120</v>
          </cell>
        </row>
        <row r="656">
          <cell r="A656">
            <v>652</v>
          </cell>
          <cell r="B656" t="str">
            <v>Mens</v>
          </cell>
          <cell r="C656">
            <v>7</v>
          </cell>
          <cell r="D656" t="str">
            <v>Front part</v>
          </cell>
          <cell r="E656" t="str">
            <v>Sharing front shoulder</v>
          </cell>
          <cell r="F656" t="str">
            <v>M</v>
          </cell>
          <cell r="G656" t="str">
            <v>1N2TLS-UBT</v>
          </cell>
          <cell r="H656">
            <v>0.5</v>
          </cell>
          <cell r="I656">
            <v>120</v>
          </cell>
        </row>
        <row r="657">
          <cell r="A657">
            <v>653</v>
          </cell>
          <cell r="B657" t="str">
            <v>Mens</v>
          </cell>
          <cell r="C657">
            <v>7</v>
          </cell>
          <cell r="D657" t="str">
            <v>Front part</v>
          </cell>
          <cell r="E657" t="str">
            <v>Trim Front placket Excess</v>
          </cell>
          <cell r="F657" t="str">
            <v>M</v>
          </cell>
          <cell r="G657" t="str">
            <v>Placket Cutter</v>
          </cell>
          <cell r="H657">
            <v>0.2</v>
          </cell>
          <cell r="I657">
            <v>300</v>
          </cell>
        </row>
        <row r="658">
          <cell r="A658">
            <v>654</v>
          </cell>
          <cell r="B658" t="str">
            <v>Mens</v>
          </cell>
          <cell r="C658">
            <v>7</v>
          </cell>
          <cell r="D658" t="str">
            <v>Front part</v>
          </cell>
          <cell r="E658" t="str">
            <v>Sharing front  lower pannel with pkt</v>
          </cell>
          <cell r="F658" t="str">
            <v>M</v>
          </cell>
          <cell r="G658" t="str">
            <v>1N2TLS-UBT</v>
          </cell>
          <cell r="H658">
            <v>0.45</v>
          </cell>
          <cell r="I658">
            <v>133.33333333333334</v>
          </cell>
        </row>
        <row r="659">
          <cell r="A659">
            <v>655</v>
          </cell>
          <cell r="B659" t="str">
            <v>Mens</v>
          </cell>
          <cell r="C659">
            <v>7</v>
          </cell>
          <cell r="D659" t="str">
            <v>Front part</v>
          </cell>
          <cell r="E659" t="str">
            <v>attach liling to front  placket x1</v>
          </cell>
          <cell r="F659" t="str">
            <v>I</v>
          </cell>
          <cell r="G659" t="str">
            <v>Iron Table</v>
          </cell>
          <cell r="H659">
            <v>0.35</v>
          </cell>
          <cell r="I659">
            <v>171.42857142857144</v>
          </cell>
        </row>
        <row r="660">
          <cell r="A660">
            <v>656</v>
          </cell>
          <cell r="B660" t="str">
            <v>Mens</v>
          </cell>
          <cell r="C660">
            <v>7</v>
          </cell>
          <cell r="D660" t="str">
            <v>Front part</v>
          </cell>
          <cell r="E660" t="str">
            <v xml:space="preserve">Press front top  placket </v>
          </cell>
          <cell r="F660" t="str">
            <v>I</v>
          </cell>
          <cell r="G660" t="str">
            <v>Iron Table</v>
          </cell>
          <cell r="H660">
            <v>0.45</v>
          </cell>
          <cell r="I660">
            <v>133.33333333333334</v>
          </cell>
        </row>
        <row r="661">
          <cell r="A661">
            <v>657</v>
          </cell>
          <cell r="B661" t="str">
            <v>Mens</v>
          </cell>
          <cell r="C661">
            <v>7</v>
          </cell>
          <cell r="D661" t="str">
            <v>Front part</v>
          </cell>
          <cell r="E661" t="str">
            <v xml:space="preserve">Tack front Buttom placket </v>
          </cell>
          <cell r="F661" t="str">
            <v>M</v>
          </cell>
          <cell r="G661" t="str">
            <v>1N2TLS-UBT</v>
          </cell>
          <cell r="H661">
            <v>0.4</v>
          </cell>
          <cell r="I661">
            <v>150</v>
          </cell>
        </row>
        <row r="662">
          <cell r="A662">
            <v>658</v>
          </cell>
          <cell r="B662" t="str">
            <v>Mens</v>
          </cell>
          <cell r="C662">
            <v>7</v>
          </cell>
          <cell r="D662" t="str">
            <v>Front part</v>
          </cell>
          <cell r="E662" t="str">
            <v xml:space="preserve">Make front top placket </v>
          </cell>
          <cell r="F662" t="str">
            <v>M</v>
          </cell>
          <cell r="G662" t="str">
            <v>1N2TLS-UBT</v>
          </cell>
          <cell r="H662">
            <v>0.45</v>
          </cell>
          <cell r="I662">
            <v>133.33333333333334</v>
          </cell>
          <cell r="J662" t="str">
            <v>1/16"CR</v>
          </cell>
        </row>
        <row r="663">
          <cell r="A663">
            <v>659</v>
          </cell>
          <cell r="B663" t="str">
            <v>Mens</v>
          </cell>
          <cell r="C663">
            <v>7</v>
          </cell>
          <cell r="D663" t="str">
            <v>Front part</v>
          </cell>
          <cell r="E663" t="str">
            <v>attach front top placket D/F</v>
          </cell>
          <cell r="F663" t="str">
            <v>M</v>
          </cell>
          <cell r="G663" t="str">
            <v>1N2TLS-UBT</v>
          </cell>
          <cell r="H663">
            <v>0.6</v>
          </cell>
          <cell r="I663">
            <v>100</v>
          </cell>
          <cell r="J663" t="str">
            <v>1/16"CL</v>
          </cell>
        </row>
        <row r="664">
          <cell r="A664">
            <v>660</v>
          </cell>
          <cell r="B664" t="str">
            <v>Mens</v>
          </cell>
          <cell r="C664">
            <v>7</v>
          </cell>
          <cell r="D664" t="str">
            <v>Front part</v>
          </cell>
          <cell r="E664" t="str">
            <v>Attach lilling to button placket</v>
          </cell>
          <cell r="F664" t="str">
            <v>I</v>
          </cell>
          <cell r="G664" t="str">
            <v>Iron Table</v>
          </cell>
          <cell r="H664">
            <v>0.3</v>
          </cell>
          <cell r="I664">
            <v>200</v>
          </cell>
        </row>
        <row r="665">
          <cell r="A665">
            <v>661</v>
          </cell>
          <cell r="B665" t="str">
            <v>Mens</v>
          </cell>
          <cell r="C665">
            <v>7</v>
          </cell>
          <cell r="D665" t="str">
            <v>Front part</v>
          </cell>
          <cell r="E665" t="str">
            <v>Press top placket bottom</v>
          </cell>
          <cell r="F665" t="str">
            <v>I</v>
          </cell>
          <cell r="G665" t="str">
            <v>Iron Table</v>
          </cell>
          <cell r="H665">
            <v>0.35</v>
          </cell>
          <cell r="I665">
            <v>171.42857142857144</v>
          </cell>
        </row>
        <row r="666">
          <cell r="A666">
            <v>662</v>
          </cell>
          <cell r="B666" t="str">
            <v>Mens</v>
          </cell>
          <cell r="C666">
            <v>7</v>
          </cell>
          <cell r="D666" t="str">
            <v>Front part</v>
          </cell>
          <cell r="E666" t="str">
            <v>Make button placket</v>
          </cell>
          <cell r="F666" t="str">
            <v>M</v>
          </cell>
          <cell r="G666" t="str">
            <v>1N2TLS-UBT</v>
          </cell>
          <cell r="H666">
            <v>0.45</v>
          </cell>
          <cell r="I666">
            <v>133.33333333333334</v>
          </cell>
          <cell r="J666" t="str">
            <v>1/16"CR</v>
          </cell>
        </row>
        <row r="667">
          <cell r="A667">
            <v>663</v>
          </cell>
          <cell r="B667" t="str">
            <v>Mens</v>
          </cell>
          <cell r="C667">
            <v>7</v>
          </cell>
          <cell r="D667" t="str">
            <v>Front part</v>
          </cell>
          <cell r="E667" t="str">
            <v>Attach front button placket</v>
          </cell>
          <cell r="F667" t="str">
            <v>M</v>
          </cell>
          <cell r="G667" t="str">
            <v>1N2TLS-UBT</v>
          </cell>
          <cell r="H667">
            <v>0.5</v>
          </cell>
          <cell r="I667">
            <v>120</v>
          </cell>
          <cell r="J667" t="str">
            <v>1/16"CL</v>
          </cell>
        </row>
        <row r="668">
          <cell r="A668">
            <v>664</v>
          </cell>
          <cell r="B668" t="str">
            <v>Mens</v>
          </cell>
          <cell r="C668">
            <v>7</v>
          </cell>
          <cell r="D668" t="str">
            <v>Front part</v>
          </cell>
          <cell r="E668" t="str">
            <v>Make front top placket with pattern</v>
          </cell>
          <cell r="F668" t="str">
            <v>M</v>
          </cell>
          <cell r="G668" t="str">
            <v>1N2TLS-UBT</v>
          </cell>
          <cell r="H668">
            <v>0.3</v>
          </cell>
          <cell r="I668">
            <v>200</v>
          </cell>
        </row>
        <row r="669">
          <cell r="A669">
            <v>665</v>
          </cell>
          <cell r="B669" t="str">
            <v>Mens</v>
          </cell>
          <cell r="C669">
            <v>7</v>
          </cell>
          <cell r="D669" t="str">
            <v>Front part</v>
          </cell>
          <cell r="E669" t="str">
            <v>Make front Button placket by pattern</v>
          </cell>
          <cell r="F669" t="str">
            <v>M</v>
          </cell>
          <cell r="G669" t="str">
            <v>1N2TLS-UBT</v>
          </cell>
          <cell r="H669">
            <v>0.3</v>
          </cell>
          <cell r="I669">
            <v>200</v>
          </cell>
        </row>
        <row r="670">
          <cell r="A670">
            <v>666</v>
          </cell>
          <cell r="B670" t="str">
            <v>Mens</v>
          </cell>
          <cell r="C670">
            <v>7</v>
          </cell>
          <cell r="D670" t="str">
            <v>Front part</v>
          </cell>
          <cell r="E670" t="str">
            <v xml:space="preserve">Trim &amp; turn front placket </v>
          </cell>
          <cell r="F670" t="str">
            <v>H</v>
          </cell>
          <cell r="G670" t="str">
            <v>Plain Table</v>
          </cell>
          <cell r="H670">
            <v>0.5</v>
          </cell>
          <cell r="I670">
            <v>120</v>
          </cell>
        </row>
        <row r="671">
          <cell r="A671">
            <v>667</v>
          </cell>
          <cell r="B671" t="str">
            <v>Mens</v>
          </cell>
          <cell r="C671">
            <v>7</v>
          </cell>
          <cell r="D671" t="str">
            <v>Front part</v>
          </cell>
          <cell r="E671" t="str">
            <v>Topstitch front placket box</v>
          </cell>
          <cell r="F671" t="str">
            <v>M</v>
          </cell>
          <cell r="G671" t="str">
            <v>1N2TLS-UBT</v>
          </cell>
          <cell r="H671">
            <v>0.35</v>
          </cell>
          <cell r="I671">
            <v>171.42857142857144</v>
          </cell>
        </row>
        <row r="672">
          <cell r="A672">
            <v>668</v>
          </cell>
          <cell r="B672" t="str">
            <v>Mens</v>
          </cell>
          <cell r="C672">
            <v>7</v>
          </cell>
          <cell r="D672" t="str">
            <v>Front part</v>
          </cell>
          <cell r="E672" t="str">
            <v>Sew top placket</v>
          </cell>
          <cell r="F672" t="str">
            <v>M</v>
          </cell>
          <cell r="G672" t="str">
            <v>1N2TLS-UBT</v>
          </cell>
          <cell r="H672">
            <v>0.36</v>
          </cell>
          <cell r="I672">
            <v>166.66666666666669</v>
          </cell>
        </row>
        <row r="673">
          <cell r="A673">
            <v>669</v>
          </cell>
          <cell r="B673" t="str">
            <v>Mens</v>
          </cell>
          <cell r="C673">
            <v>7</v>
          </cell>
          <cell r="D673" t="str">
            <v>Front part</v>
          </cell>
          <cell r="E673" t="str">
            <v xml:space="preserve">Sew top placket </v>
          </cell>
          <cell r="F673" t="str">
            <v>M</v>
          </cell>
          <cell r="G673" t="str">
            <v>4N8TCS</v>
          </cell>
          <cell r="H673">
            <v>0.3</v>
          </cell>
          <cell r="I673">
            <v>200</v>
          </cell>
          <cell r="J673" t="str">
            <v xml:space="preserve"> 5/8"</v>
          </cell>
          <cell r="K673" t="str">
            <v xml:space="preserve"> 5/8"</v>
          </cell>
          <cell r="N673" t="str">
            <v>2.5 cm</v>
          </cell>
        </row>
        <row r="674">
          <cell r="A674">
            <v>670</v>
          </cell>
          <cell r="B674" t="str">
            <v>Mens</v>
          </cell>
          <cell r="C674">
            <v>7</v>
          </cell>
          <cell r="D674" t="str">
            <v>Front part</v>
          </cell>
          <cell r="E674" t="str">
            <v xml:space="preserve">Sew top placket - Match </v>
          </cell>
          <cell r="F674" t="str">
            <v>M</v>
          </cell>
          <cell r="G674" t="str">
            <v>4N8TCS</v>
          </cell>
          <cell r="H674">
            <v>0.4</v>
          </cell>
          <cell r="I674">
            <v>150</v>
          </cell>
        </row>
        <row r="675">
          <cell r="A675">
            <v>671</v>
          </cell>
          <cell r="B675" t="str">
            <v>Mens</v>
          </cell>
          <cell r="C675">
            <v>7</v>
          </cell>
          <cell r="D675" t="str">
            <v>Front part</v>
          </cell>
          <cell r="E675" t="str">
            <v>Sew top placket - Match</v>
          </cell>
          <cell r="F675" t="str">
            <v>M</v>
          </cell>
          <cell r="G675" t="str">
            <v>4N8TCS</v>
          </cell>
          <cell r="H675">
            <v>0.36</v>
          </cell>
          <cell r="I675">
            <v>166.66666666666669</v>
          </cell>
          <cell r="J675" t="str">
            <v>3/4"</v>
          </cell>
          <cell r="K675" t="str">
            <v>3/4"</v>
          </cell>
          <cell r="L675" t="str">
            <v>check</v>
          </cell>
          <cell r="N675" t="str">
            <v>1-1/4"</v>
          </cell>
        </row>
        <row r="676">
          <cell r="A676">
            <v>672</v>
          </cell>
          <cell r="B676" t="str">
            <v>Mens</v>
          </cell>
          <cell r="C676">
            <v>7</v>
          </cell>
          <cell r="D676" t="str">
            <v>Front part</v>
          </cell>
          <cell r="E676" t="str">
            <v>Check top placket</v>
          </cell>
          <cell r="F676" t="str">
            <v>H</v>
          </cell>
          <cell r="G676" t="str">
            <v>Plain Table</v>
          </cell>
          <cell r="H676">
            <v>0.3</v>
          </cell>
          <cell r="I676">
            <v>200</v>
          </cell>
          <cell r="L676" t="str">
            <v>check</v>
          </cell>
        </row>
        <row r="677">
          <cell r="A677">
            <v>673</v>
          </cell>
          <cell r="B677" t="str">
            <v>Mens</v>
          </cell>
          <cell r="C677">
            <v>7</v>
          </cell>
          <cell r="D677" t="str">
            <v>Front part</v>
          </cell>
          <cell r="E677" t="str">
            <v>Front Placket Lapel Tack</v>
          </cell>
          <cell r="F677" t="str">
            <v>M</v>
          </cell>
          <cell r="G677" t="str">
            <v>1N2TLS-UBT</v>
          </cell>
          <cell r="H677">
            <v>0.45</v>
          </cell>
          <cell r="I677">
            <v>133.33333333333334</v>
          </cell>
        </row>
        <row r="678">
          <cell r="A678">
            <v>674</v>
          </cell>
          <cell r="B678" t="str">
            <v>Mens</v>
          </cell>
          <cell r="C678">
            <v>7</v>
          </cell>
          <cell r="D678" t="str">
            <v>Front part</v>
          </cell>
          <cell r="E678" t="str">
            <v>Turn Front Lapel</v>
          </cell>
          <cell r="F678" t="str">
            <v>H</v>
          </cell>
          <cell r="G678" t="str">
            <v>Plain Table</v>
          </cell>
          <cell r="H678">
            <v>0.35</v>
          </cell>
          <cell r="I678">
            <v>171.42857142857144</v>
          </cell>
        </row>
        <row r="679">
          <cell r="A679">
            <v>675</v>
          </cell>
          <cell r="B679" t="str">
            <v>Mens</v>
          </cell>
          <cell r="C679">
            <v>7</v>
          </cell>
          <cell r="D679" t="str">
            <v>Front part</v>
          </cell>
          <cell r="E679" t="str">
            <v>Press Front button Placket</v>
          </cell>
          <cell r="F679" t="str">
            <v>I</v>
          </cell>
          <cell r="G679" t="str">
            <v>Iron Table</v>
          </cell>
          <cell r="H679">
            <v>0.4</v>
          </cell>
          <cell r="I679">
            <v>150</v>
          </cell>
        </row>
        <row r="680">
          <cell r="A680">
            <v>676</v>
          </cell>
          <cell r="B680" t="str">
            <v>Mens</v>
          </cell>
          <cell r="C680">
            <v>7</v>
          </cell>
          <cell r="D680" t="str">
            <v>Front part</v>
          </cell>
          <cell r="E680" t="str">
            <v>Front Placket TS</v>
          </cell>
          <cell r="F680" t="str">
            <v>M</v>
          </cell>
          <cell r="G680" t="str">
            <v>1N2TLS-UBT</v>
          </cell>
          <cell r="H680">
            <v>0.72</v>
          </cell>
          <cell r="I680">
            <v>83.333333333333343</v>
          </cell>
        </row>
        <row r="681">
          <cell r="A681">
            <v>677</v>
          </cell>
          <cell r="B681" t="str">
            <v>Mens</v>
          </cell>
          <cell r="C681">
            <v>7</v>
          </cell>
          <cell r="D681" t="str">
            <v>Front part</v>
          </cell>
          <cell r="E681" t="str">
            <v xml:space="preserve">Sew bottom placket </v>
          </cell>
          <cell r="F681" t="str">
            <v>M</v>
          </cell>
          <cell r="G681" t="str">
            <v>1N2TLS-UBT</v>
          </cell>
          <cell r="H681">
            <v>0.36</v>
          </cell>
          <cell r="I681">
            <v>166.66666666666669</v>
          </cell>
          <cell r="J681" t="str">
            <v>1/16" CL</v>
          </cell>
          <cell r="L681" t="str">
            <v>check</v>
          </cell>
        </row>
        <row r="682">
          <cell r="A682">
            <v>678</v>
          </cell>
          <cell r="B682" t="str">
            <v>Mens</v>
          </cell>
          <cell r="C682">
            <v>7</v>
          </cell>
          <cell r="D682" t="str">
            <v>Front part</v>
          </cell>
          <cell r="E682" t="str">
            <v>Sew bottom placket +pkt hem</v>
          </cell>
          <cell r="F682" t="str">
            <v>M</v>
          </cell>
          <cell r="G682" t="str">
            <v>1N2TLS-UBT</v>
          </cell>
          <cell r="H682">
            <v>0.5</v>
          </cell>
          <cell r="I682">
            <v>120</v>
          </cell>
          <cell r="J682" t="str">
            <v>1/16" CL</v>
          </cell>
          <cell r="K682" t="str">
            <v>Plain</v>
          </cell>
        </row>
        <row r="683">
          <cell r="A683">
            <v>679</v>
          </cell>
          <cell r="B683" t="str">
            <v>Mens</v>
          </cell>
          <cell r="C683">
            <v>7</v>
          </cell>
          <cell r="D683" t="str">
            <v>Front part</v>
          </cell>
          <cell r="E683" t="str">
            <v xml:space="preserve">Sew bottom placket </v>
          </cell>
          <cell r="F683" t="str">
            <v>M</v>
          </cell>
          <cell r="G683" t="str">
            <v>1N2TLS-UBT</v>
          </cell>
          <cell r="H683">
            <v>0.4</v>
          </cell>
          <cell r="I683">
            <v>150</v>
          </cell>
          <cell r="J683" t="str">
            <v>1/16" CL</v>
          </cell>
          <cell r="K683" t="str">
            <v>Plain</v>
          </cell>
        </row>
        <row r="684">
          <cell r="A684">
            <v>680</v>
          </cell>
          <cell r="B684" t="str">
            <v>Mens</v>
          </cell>
          <cell r="C684">
            <v>7</v>
          </cell>
          <cell r="D684" t="str">
            <v>Front part</v>
          </cell>
          <cell r="E684" t="str">
            <v>Press Front Button Placket Bottom</v>
          </cell>
          <cell r="F684" t="str">
            <v>I</v>
          </cell>
          <cell r="G684" t="str">
            <v>Iron Table</v>
          </cell>
          <cell r="H684">
            <v>0.35</v>
          </cell>
          <cell r="I684">
            <v>171.42857142857144</v>
          </cell>
        </row>
        <row r="685">
          <cell r="A685">
            <v>681</v>
          </cell>
          <cell r="B685" t="str">
            <v>Mens</v>
          </cell>
          <cell r="C685">
            <v>7</v>
          </cell>
          <cell r="D685" t="str">
            <v>Front part</v>
          </cell>
          <cell r="E685" t="str">
            <v>Front Button Placket TS</v>
          </cell>
          <cell r="F685" t="str">
            <v>M</v>
          </cell>
          <cell r="G685" t="str">
            <v>1N2TLS-UBT</v>
          </cell>
          <cell r="H685">
            <v>0.42</v>
          </cell>
          <cell r="I685">
            <v>142.85714285714286</v>
          </cell>
        </row>
        <row r="686">
          <cell r="A686">
            <v>682</v>
          </cell>
          <cell r="B686" t="str">
            <v>Mens</v>
          </cell>
          <cell r="C686">
            <v>7</v>
          </cell>
          <cell r="D686" t="str">
            <v>Front part</v>
          </cell>
          <cell r="E686" t="str">
            <v>Attach front pannel x4</v>
          </cell>
          <cell r="F686" t="str">
            <v>M</v>
          </cell>
          <cell r="G686" t="str">
            <v>2N5TOL</v>
          </cell>
          <cell r="H686">
            <v>1.2</v>
          </cell>
          <cell r="I686">
            <v>50</v>
          </cell>
        </row>
        <row r="687">
          <cell r="A687">
            <v>683</v>
          </cell>
          <cell r="B687" t="str">
            <v>Mens</v>
          </cell>
          <cell r="C687">
            <v>7</v>
          </cell>
          <cell r="D687" t="str">
            <v>Front part</v>
          </cell>
          <cell r="E687" t="str">
            <v>Topstitch front pannel</v>
          </cell>
          <cell r="F687" t="str">
            <v>M</v>
          </cell>
          <cell r="G687" t="str">
            <v>1N2TLS-UBT</v>
          </cell>
          <cell r="H687">
            <v>0.4</v>
          </cell>
          <cell r="I687">
            <v>150</v>
          </cell>
        </row>
        <row r="688">
          <cell r="A688">
            <v>684</v>
          </cell>
          <cell r="B688" t="str">
            <v>Mens</v>
          </cell>
          <cell r="C688">
            <v>7</v>
          </cell>
          <cell r="D688" t="str">
            <v>Front part</v>
          </cell>
          <cell r="E688" t="str">
            <v>Mark pkt placement &amp; pkt with body</v>
          </cell>
          <cell r="F688" t="str">
            <v>H</v>
          </cell>
          <cell r="G688" t="str">
            <v>Plain Table</v>
          </cell>
          <cell r="H688">
            <v>0.6</v>
          </cell>
          <cell r="I688">
            <v>100</v>
          </cell>
          <cell r="J688" t="str">
            <v>pattern</v>
          </cell>
        </row>
        <row r="689">
          <cell r="A689">
            <v>685</v>
          </cell>
          <cell r="B689" t="str">
            <v>Mens</v>
          </cell>
          <cell r="C689">
            <v>7</v>
          </cell>
          <cell r="D689" t="str">
            <v>Front part</v>
          </cell>
          <cell r="E689" t="str">
            <v xml:space="preserve">Mark pkt placement </v>
          </cell>
          <cell r="F689" t="str">
            <v>M</v>
          </cell>
          <cell r="G689" t="str">
            <v>1N2TLS-UBT</v>
          </cell>
          <cell r="H689">
            <v>0.4</v>
          </cell>
          <cell r="I689">
            <v>150</v>
          </cell>
        </row>
        <row r="690">
          <cell r="A690">
            <v>686</v>
          </cell>
          <cell r="B690" t="str">
            <v>Mens</v>
          </cell>
          <cell r="C690">
            <v>7</v>
          </cell>
          <cell r="D690" t="str">
            <v>Front part</v>
          </cell>
          <cell r="E690" t="str">
            <v xml:space="preserve">Attach placket pannel to front </v>
          </cell>
          <cell r="F690" t="str">
            <v>M</v>
          </cell>
          <cell r="G690" t="str">
            <v>1N2TLS-UBT</v>
          </cell>
          <cell r="H690">
            <v>1.32</v>
          </cell>
          <cell r="I690">
            <v>45.454545454545453</v>
          </cell>
        </row>
        <row r="691">
          <cell r="A691">
            <v>687</v>
          </cell>
          <cell r="B691" t="str">
            <v>Mens</v>
          </cell>
          <cell r="C691">
            <v>7</v>
          </cell>
          <cell r="D691" t="str">
            <v>Front part</v>
          </cell>
          <cell r="E691" t="str">
            <v>Sew bottom placket solid (Tape)</v>
          </cell>
          <cell r="F691" t="str">
            <v>M</v>
          </cell>
          <cell r="G691" t="str">
            <v>1N2TLS-UBT</v>
          </cell>
          <cell r="H691">
            <v>0.34</v>
          </cell>
          <cell r="I691">
            <v>176.47058823529412</v>
          </cell>
        </row>
        <row r="692">
          <cell r="A692">
            <v>688</v>
          </cell>
          <cell r="B692" t="str">
            <v>Mens</v>
          </cell>
          <cell r="C692">
            <v>7</v>
          </cell>
          <cell r="D692" t="str">
            <v>Front part</v>
          </cell>
          <cell r="E692" t="str">
            <v xml:space="preserve">Tack top placket </v>
          </cell>
          <cell r="F692" t="str">
            <v>M</v>
          </cell>
          <cell r="G692" t="str">
            <v>1N2TLS-UBT</v>
          </cell>
          <cell r="H692">
            <v>0.35</v>
          </cell>
          <cell r="I692">
            <v>171.42857142857144</v>
          </cell>
        </row>
        <row r="693">
          <cell r="A693">
            <v>689</v>
          </cell>
          <cell r="B693" t="str">
            <v>Mens</v>
          </cell>
          <cell r="C693">
            <v>7</v>
          </cell>
          <cell r="D693" t="str">
            <v>Front part</v>
          </cell>
          <cell r="E693" t="str">
            <v>attach front button  placket</v>
          </cell>
          <cell r="F693" t="str">
            <v>M</v>
          </cell>
          <cell r="G693" t="str">
            <v>1N2TLS-UBT</v>
          </cell>
          <cell r="H693">
            <v>0.45</v>
          </cell>
          <cell r="I693">
            <v>133.33333333333334</v>
          </cell>
        </row>
        <row r="694">
          <cell r="A694">
            <v>690</v>
          </cell>
          <cell r="B694" t="str">
            <v>Mens</v>
          </cell>
          <cell r="C694">
            <v>7</v>
          </cell>
          <cell r="D694" t="str">
            <v>Front part</v>
          </cell>
          <cell r="E694" t="str">
            <v xml:space="preserve">Make front for make pleate </v>
          </cell>
          <cell r="F694" t="str">
            <v>M</v>
          </cell>
          <cell r="G694" t="str">
            <v>1N2TLS-UBT</v>
          </cell>
          <cell r="H694">
            <v>0.45</v>
          </cell>
          <cell r="I694">
            <v>133.33333333333334</v>
          </cell>
        </row>
        <row r="695">
          <cell r="A695">
            <v>691</v>
          </cell>
          <cell r="B695" t="str">
            <v>Mens</v>
          </cell>
          <cell r="C695">
            <v>7</v>
          </cell>
          <cell r="D695" t="str">
            <v>Front part</v>
          </cell>
          <cell r="E695" t="str">
            <v>Measure &amp; cut front placket loop</v>
          </cell>
          <cell r="F695" t="str">
            <v>H</v>
          </cell>
          <cell r="G695" t="str">
            <v>Plain Table</v>
          </cell>
          <cell r="H695">
            <v>0.3</v>
          </cell>
          <cell r="I695">
            <v>200</v>
          </cell>
        </row>
        <row r="696">
          <cell r="A696">
            <v>692</v>
          </cell>
          <cell r="B696" t="str">
            <v>Mens</v>
          </cell>
          <cell r="C696">
            <v>7</v>
          </cell>
          <cell r="D696" t="str">
            <v>Front part</v>
          </cell>
          <cell r="E696" t="str">
            <v xml:space="preserve">Mark front  For attach pkt </v>
          </cell>
          <cell r="F696" t="str">
            <v>H</v>
          </cell>
          <cell r="G696" t="str">
            <v>Plain Table</v>
          </cell>
          <cell r="H696">
            <v>0.4</v>
          </cell>
          <cell r="I696">
            <v>150</v>
          </cell>
          <cell r="J696" t="str">
            <v>Pattern</v>
          </cell>
        </row>
        <row r="697">
          <cell r="A697">
            <v>693</v>
          </cell>
          <cell r="B697" t="str">
            <v>Mens</v>
          </cell>
          <cell r="C697">
            <v>7</v>
          </cell>
          <cell r="D697" t="str">
            <v>Front part</v>
          </cell>
          <cell r="E697" t="str">
            <v>Attach front placket loop x 6</v>
          </cell>
          <cell r="F697" t="str">
            <v>M</v>
          </cell>
          <cell r="G697" t="str">
            <v>1N2TLS-UBT</v>
          </cell>
          <cell r="H697">
            <v>1.2</v>
          </cell>
          <cell r="I697">
            <v>50</v>
          </cell>
        </row>
        <row r="698">
          <cell r="A698">
            <v>694</v>
          </cell>
          <cell r="B698" t="str">
            <v>Mens</v>
          </cell>
          <cell r="C698">
            <v>7</v>
          </cell>
          <cell r="D698" t="str">
            <v>Front part</v>
          </cell>
          <cell r="E698" t="str">
            <v xml:space="preserve">Attach care &amp; size label </v>
          </cell>
          <cell r="F698" t="str">
            <v>M</v>
          </cell>
          <cell r="G698" t="str">
            <v>1N2TLS-UBT</v>
          </cell>
          <cell r="H698">
            <v>0.3</v>
          </cell>
          <cell r="I698">
            <v>200</v>
          </cell>
        </row>
        <row r="699">
          <cell r="A699">
            <v>695</v>
          </cell>
          <cell r="B699" t="str">
            <v>Mens</v>
          </cell>
          <cell r="C699">
            <v>7</v>
          </cell>
          <cell r="D699" t="str">
            <v>Front part</v>
          </cell>
          <cell r="E699" t="str">
            <v xml:space="preserve">Topstitch front pannel </v>
          </cell>
          <cell r="F699" t="str">
            <v>M</v>
          </cell>
          <cell r="G699" t="str">
            <v>1N2TLS-UBT</v>
          </cell>
          <cell r="H699">
            <v>0.75</v>
          </cell>
          <cell r="I699">
            <v>80</v>
          </cell>
        </row>
        <row r="700">
          <cell r="A700">
            <v>696</v>
          </cell>
          <cell r="B700" t="str">
            <v>Mens</v>
          </cell>
          <cell r="C700">
            <v>7</v>
          </cell>
          <cell r="D700" t="str">
            <v>Front part</v>
          </cell>
          <cell r="E700" t="str">
            <v>Tack front placket at body</v>
          </cell>
          <cell r="F700" t="str">
            <v>M</v>
          </cell>
          <cell r="G700" t="str">
            <v>1N2TLS-UBT</v>
          </cell>
          <cell r="H700">
            <v>0.5</v>
          </cell>
          <cell r="I700">
            <v>120</v>
          </cell>
        </row>
        <row r="701">
          <cell r="A701">
            <v>697</v>
          </cell>
          <cell r="B701" t="str">
            <v>Mens</v>
          </cell>
          <cell r="C701">
            <v>7</v>
          </cell>
          <cell r="D701" t="str">
            <v>Front part</v>
          </cell>
          <cell r="E701" t="str">
            <v>Tack front placket bottom</v>
          </cell>
          <cell r="F701" t="str">
            <v>M</v>
          </cell>
          <cell r="G701" t="str">
            <v>1N2TLS-UBT</v>
          </cell>
          <cell r="H701">
            <v>0.35</v>
          </cell>
          <cell r="I701">
            <v>171.42857142857144</v>
          </cell>
        </row>
        <row r="702">
          <cell r="A702">
            <v>698</v>
          </cell>
          <cell r="B702" t="str">
            <v>Mens</v>
          </cell>
          <cell r="C702">
            <v>7</v>
          </cell>
          <cell r="D702" t="str">
            <v>Front part</v>
          </cell>
          <cell r="E702" t="str">
            <v>fold &amp; Tack front placket bottom</v>
          </cell>
          <cell r="F702" t="str">
            <v>M</v>
          </cell>
          <cell r="G702" t="str">
            <v>1N2TLS-UBT</v>
          </cell>
          <cell r="H702">
            <v>0.5</v>
          </cell>
          <cell r="I702">
            <v>120</v>
          </cell>
        </row>
        <row r="703">
          <cell r="A703">
            <v>699</v>
          </cell>
          <cell r="B703" t="str">
            <v>Mens</v>
          </cell>
          <cell r="C703">
            <v>7</v>
          </cell>
          <cell r="D703" t="str">
            <v>Front part</v>
          </cell>
          <cell r="E703" t="str">
            <v>Size &amp; care Label attach to front part</v>
          </cell>
          <cell r="F703" t="str">
            <v>M</v>
          </cell>
          <cell r="G703" t="str">
            <v>1N2TLS-UBT</v>
          </cell>
          <cell r="H703">
            <v>0.35</v>
          </cell>
          <cell r="I703">
            <v>171.42857142857144</v>
          </cell>
          <cell r="J703" t="str">
            <v>Plain</v>
          </cell>
          <cell r="K703" t="str">
            <v>Plain</v>
          </cell>
        </row>
        <row r="704">
          <cell r="A704">
            <v>700</v>
          </cell>
          <cell r="B704" t="str">
            <v>Mens</v>
          </cell>
          <cell r="C704">
            <v>7</v>
          </cell>
          <cell r="D704" t="str">
            <v>Front part</v>
          </cell>
          <cell r="E704" t="str">
            <v>Make front centre pleate</v>
          </cell>
          <cell r="F704" t="str">
            <v>M</v>
          </cell>
          <cell r="G704" t="str">
            <v>1N2TLS-UBT</v>
          </cell>
          <cell r="H704">
            <v>0.5</v>
          </cell>
          <cell r="I704">
            <v>120</v>
          </cell>
        </row>
        <row r="705">
          <cell r="A705">
            <v>701</v>
          </cell>
          <cell r="B705" t="str">
            <v>Mens</v>
          </cell>
          <cell r="C705">
            <v>7</v>
          </cell>
          <cell r="D705" t="str">
            <v>Front part</v>
          </cell>
          <cell r="E705" t="str">
            <v>Rolling front top placket</v>
          </cell>
          <cell r="F705" t="str">
            <v>M</v>
          </cell>
          <cell r="G705" t="str">
            <v>1N2TLS-UBT</v>
          </cell>
          <cell r="H705">
            <v>0.35</v>
          </cell>
          <cell r="I705">
            <v>171.42857142857144</v>
          </cell>
        </row>
        <row r="706">
          <cell r="A706">
            <v>702</v>
          </cell>
          <cell r="B706" t="str">
            <v>Mens</v>
          </cell>
          <cell r="C706">
            <v>7</v>
          </cell>
          <cell r="D706" t="str">
            <v>Front part</v>
          </cell>
          <cell r="E706" t="str">
            <v>Size &amp; care Label attach with tack front plkt</v>
          </cell>
          <cell r="F706" t="str">
            <v>M</v>
          </cell>
          <cell r="G706" t="str">
            <v>1N2TLS-UBT</v>
          </cell>
          <cell r="H706">
            <v>0.6</v>
          </cell>
          <cell r="I706">
            <v>100</v>
          </cell>
        </row>
        <row r="707">
          <cell r="A707">
            <v>703</v>
          </cell>
          <cell r="B707" t="str">
            <v>Mens</v>
          </cell>
          <cell r="C707">
            <v>7</v>
          </cell>
          <cell r="D707" t="str">
            <v>Front part</v>
          </cell>
          <cell r="E707" t="str">
            <v>Rolling front top &amp; bottom  placket</v>
          </cell>
          <cell r="F707" t="str">
            <v>M</v>
          </cell>
          <cell r="G707" t="str">
            <v>1N2TLS-UBT</v>
          </cell>
          <cell r="H707">
            <v>0.5</v>
          </cell>
          <cell r="I707">
            <v>120</v>
          </cell>
        </row>
        <row r="708">
          <cell r="A708">
            <v>704</v>
          </cell>
          <cell r="B708" t="str">
            <v>Mens</v>
          </cell>
          <cell r="C708">
            <v>7</v>
          </cell>
          <cell r="D708" t="str">
            <v>Front part</v>
          </cell>
          <cell r="E708" t="str">
            <v>Close front pannel</v>
          </cell>
          <cell r="F708" t="str">
            <v>M</v>
          </cell>
          <cell r="G708" t="str">
            <v>1N3TOL</v>
          </cell>
          <cell r="H708">
            <v>0.75</v>
          </cell>
          <cell r="I708">
            <v>80</v>
          </cell>
        </row>
        <row r="709">
          <cell r="A709">
            <v>705</v>
          </cell>
          <cell r="B709" t="str">
            <v>Mens</v>
          </cell>
          <cell r="C709">
            <v>7</v>
          </cell>
          <cell r="D709" t="str">
            <v>Front part</v>
          </cell>
          <cell r="E709" t="str">
            <v>Attach front TOP pannel x2</v>
          </cell>
          <cell r="F709" t="str">
            <v>M</v>
          </cell>
          <cell r="G709" t="str">
            <v>2N5TOL</v>
          </cell>
          <cell r="H709">
            <v>0.85</v>
          </cell>
          <cell r="I709">
            <v>70.588235294117652</v>
          </cell>
        </row>
        <row r="710">
          <cell r="A710">
            <v>706</v>
          </cell>
          <cell r="B710" t="str">
            <v>Mens</v>
          </cell>
          <cell r="C710">
            <v>7</v>
          </cell>
          <cell r="D710" t="str">
            <v>Front part</v>
          </cell>
          <cell r="E710" t="str">
            <v>Topstitch front placket x2</v>
          </cell>
          <cell r="F710" t="str">
            <v>M</v>
          </cell>
          <cell r="G710" t="str">
            <v>1N2TLS-UBT</v>
          </cell>
          <cell r="H710">
            <v>0.75</v>
          </cell>
          <cell r="I710">
            <v>80</v>
          </cell>
        </row>
        <row r="711">
          <cell r="A711">
            <v>707</v>
          </cell>
          <cell r="B711" t="str">
            <v>Mens</v>
          </cell>
          <cell r="C711">
            <v>7</v>
          </cell>
          <cell r="D711" t="str">
            <v>Front part</v>
          </cell>
          <cell r="E711" t="str">
            <v xml:space="preserve">Press Front top &amp; BottomPlacket </v>
          </cell>
          <cell r="F711" t="str">
            <v>I</v>
          </cell>
          <cell r="G711" t="str">
            <v>Iron Table</v>
          </cell>
          <cell r="H711">
            <v>0.7</v>
          </cell>
          <cell r="I711">
            <v>85.714285714285722</v>
          </cell>
        </row>
        <row r="712">
          <cell r="A712">
            <v>708</v>
          </cell>
          <cell r="B712" t="str">
            <v>Mens</v>
          </cell>
          <cell r="C712">
            <v>7</v>
          </cell>
          <cell r="D712" t="str">
            <v>Front part</v>
          </cell>
          <cell r="E712" t="str">
            <v>Overlock front openning 12"</v>
          </cell>
          <cell r="F712" t="str">
            <v>M</v>
          </cell>
          <cell r="G712" t="str">
            <v>1N3TOL</v>
          </cell>
          <cell r="H712">
            <v>0.3</v>
          </cell>
          <cell r="I712">
            <v>200</v>
          </cell>
        </row>
        <row r="713">
          <cell r="A713">
            <v>709</v>
          </cell>
          <cell r="B713" t="str">
            <v>Mens</v>
          </cell>
          <cell r="C713">
            <v>7</v>
          </cell>
          <cell r="D713" t="str">
            <v>Front part</v>
          </cell>
          <cell r="E713" t="str">
            <v>attach tape at front opening</v>
          </cell>
          <cell r="F713" t="str">
            <v>M</v>
          </cell>
          <cell r="G713" t="str">
            <v>1N2TLS-UBT</v>
          </cell>
          <cell r="H713">
            <v>0.35</v>
          </cell>
          <cell r="I713">
            <v>171.42857142857144</v>
          </cell>
        </row>
        <row r="714">
          <cell r="A714">
            <v>710</v>
          </cell>
          <cell r="B714" t="str">
            <v>Mens</v>
          </cell>
          <cell r="C714">
            <v>7</v>
          </cell>
          <cell r="D714" t="str">
            <v>Front part</v>
          </cell>
          <cell r="E714" t="str">
            <v>Overlock front placket edge</v>
          </cell>
          <cell r="F714" t="str">
            <v>M</v>
          </cell>
          <cell r="G714" t="str">
            <v>1N3TOL</v>
          </cell>
          <cell r="H714">
            <v>0.3</v>
          </cell>
          <cell r="I714">
            <v>200</v>
          </cell>
        </row>
        <row r="715">
          <cell r="A715">
            <v>711</v>
          </cell>
          <cell r="B715" t="str">
            <v>Mens</v>
          </cell>
          <cell r="C715">
            <v>7</v>
          </cell>
          <cell r="D715" t="str">
            <v>Front part</v>
          </cell>
          <cell r="E715" t="str">
            <v>attach liling to front top placket x2</v>
          </cell>
          <cell r="F715" t="str">
            <v>I</v>
          </cell>
          <cell r="G715" t="str">
            <v>Iron Table</v>
          </cell>
          <cell r="H715">
            <v>0.6</v>
          </cell>
          <cell r="I715">
            <v>100</v>
          </cell>
        </row>
        <row r="716">
          <cell r="A716">
            <v>712</v>
          </cell>
          <cell r="B716" t="str">
            <v>Mens</v>
          </cell>
          <cell r="C716">
            <v>7</v>
          </cell>
          <cell r="D716" t="str">
            <v>Front part</v>
          </cell>
          <cell r="E716" t="str">
            <v>Mark front  Placket for attach x 2</v>
          </cell>
          <cell r="F716" t="str">
            <v>H</v>
          </cell>
          <cell r="G716" t="str">
            <v>Plain Table</v>
          </cell>
          <cell r="H716">
            <v>0.4</v>
          </cell>
          <cell r="I716">
            <v>150</v>
          </cell>
        </row>
        <row r="717">
          <cell r="A717">
            <v>713</v>
          </cell>
          <cell r="B717" t="str">
            <v>Mens</v>
          </cell>
          <cell r="C717">
            <v>7</v>
          </cell>
          <cell r="D717" t="str">
            <v>Front part</v>
          </cell>
          <cell r="E717" t="str">
            <v xml:space="preserve">Make front top placket box  x2 </v>
          </cell>
          <cell r="F717" t="str">
            <v>M</v>
          </cell>
          <cell r="G717" t="str">
            <v>1N2TLS-UBT</v>
          </cell>
          <cell r="H717">
            <v>0.6</v>
          </cell>
          <cell r="I717">
            <v>100</v>
          </cell>
        </row>
        <row r="718">
          <cell r="A718">
            <v>714</v>
          </cell>
          <cell r="B718" t="str">
            <v>Mens</v>
          </cell>
          <cell r="C718">
            <v>7</v>
          </cell>
          <cell r="D718" t="str">
            <v>Front part</v>
          </cell>
          <cell r="E718" t="str">
            <v>Press front  placket Round x2</v>
          </cell>
          <cell r="F718" t="str">
            <v>I</v>
          </cell>
          <cell r="G718" t="str">
            <v>Iron Table</v>
          </cell>
          <cell r="H718">
            <v>0.45</v>
          </cell>
          <cell r="I718">
            <v>133.33333333333334</v>
          </cell>
        </row>
        <row r="719">
          <cell r="A719">
            <v>715</v>
          </cell>
          <cell r="B719" t="str">
            <v>Mens</v>
          </cell>
          <cell r="C719">
            <v>7</v>
          </cell>
          <cell r="D719" t="str">
            <v>Front part</v>
          </cell>
          <cell r="E719" t="str">
            <v xml:space="preserve">Trim &amp; turn front placket box </v>
          </cell>
          <cell r="F719" t="str">
            <v>H</v>
          </cell>
          <cell r="G719" t="str">
            <v>Plain Table</v>
          </cell>
          <cell r="H719">
            <v>0.6</v>
          </cell>
          <cell r="I719">
            <v>100</v>
          </cell>
        </row>
        <row r="720">
          <cell r="A720">
            <v>716</v>
          </cell>
          <cell r="B720" t="str">
            <v>Mens</v>
          </cell>
          <cell r="C720">
            <v>7</v>
          </cell>
          <cell r="D720" t="str">
            <v>Front part</v>
          </cell>
          <cell r="E720" t="str">
            <v xml:space="preserve">Topstitch front placket box x 2 </v>
          </cell>
          <cell r="F720" t="str">
            <v>M</v>
          </cell>
          <cell r="G720" t="str">
            <v>1N2TLS-UBT</v>
          </cell>
          <cell r="H720">
            <v>0.6</v>
          </cell>
          <cell r="I720">
            <v>100</v>
          </cell>
        </row>
        <row r="721">
          <cell r="A721">
            <v>717</v>
          </cell>
          <cell r="B721" t="str">
            <v>Mens</v>
          </cell>
          <cell r="C721">
            <v>7</v>
          </cell>
          <cell r="D721" t="str">
            <v>Front part</v>
          </cell>
          <cell r="E721" t="str">
            <v>Trims front opening</v>
          </cell>
          <cell r="F721" t="str">
            <v>H</v>
          </cell>
          <cell r="G721" t="str">
            <v>Plain Table</v>
          </cell>
          <cell r="H721">
            <v>0.3</v>
          </cell>
          <cell r="I721">
            <v>200</v>
          </cell>
        </row>
        <row r="722">
          <cell r="A722">
            <v>718</v>
          </cell>
          <cell r="B722" t="str">
            <v>Mens</v>
          </cell>
          <cell r="C722">
            <v>7</v>
          </cell>
          <cell r="D722" t="str">
            <v>Front part</v>
          </cell>
          <cell r="E722" t="str">
            <v>Topstitch front pannel x4</v>
          </cell>
          <cell r="F722" t="str">
            <v>M</v>
          </cell>
          <cell r="G722" t="str">
            <v>1N2TLS-UBT</v>
          </cell>
          <cell r="H722">
            <v>1</v>
          </cell>
          <cell r="I722">
            <v>60</v>
          </cell>
        </row>
        <row r="723">
          <cell r="A723">
            <v>719</v>
          </cell>
          <cell r="B723" t="str">
            <v>Mens</v>
          </cell>
          <cell r="C723">
            <v>7</v>
          </cell>
          <cell r="D723" t="str">
            <v>Front part</v>
          </cell>
          <cell r="E723" t="str">
            <v>Topstitch front top pannel x2</v>
          </cell>
          <cell r="F723" t="str">
            <v>M</v>
          </cell>
          <cell r="G723" t="str">
            <v>1N2TLS-UBT</v>
          </cell>
          <cell r="H723">
            <v>0.7</v>
          </cell>
          <cell r="I723">
            <v>85.714285714285722</v>
          </cell>
        </row>
        <row r="724">
          <cell r="A724">
            <v>720</v>
          </cell>
          <cell r="B724" t="str">
            <v>Mens</v>
          </cell>
          <cell r="C724">
            <v>7</v>
          </cell>
          <cell r="D724" t="str">
            <v>Front part</v>
          </cell>
          <cell r="E724" t="str">
            <v>Tack front button placket to body</v>
          </cell>
          <cell r="F724" t="str">
            <v>M</v>
          </cell>
          <cell r="G724" t="str">
            <v>1N2TLS-UBT</v>
          </cell>
          <cell r="H724">
            <v>0.4</v>
          </cell>
          <cell r="I724">
            <v>150</v>
          </cell>
        </row>
        <row r="725">
          <cell r="A725">
            <v>721</v>
          </cell>
          <cell r="B725" t="str">
            <v>Mens</v>
          </cell>
          <cell r="C725">
            <v>7</v>
          </cell>
          <cell r="D725" t="str">
            <v>Front part</v>
          </cell>
          <cell r="E725" t="str">
            <v xml:space="preserve">Make fornt  Side Vent </v>
          </cell>
          <cell r="F725" t="str">
            <v>M</v>
          </cell>
          <cell r="G725" t="str">
            <v>2N4TLSUBT</v>
          </cell>
          <cell r="H725">
            <v>0.75</v>
          </cell>
          <cell r="I725">
            <v>80</v>
          </cell>
        </row>
        <row r="726">
          <cell r="A726">
            <v>722</v>
          </cell>
          <cell r="B726" t="str">
            <v>Mens</v>
          </cell>
          <cell r="C726">
            <v>8</v>
          </cell>
          <cell r="D726" t="str">
            <v>Front part</v>
          </cell>
          <cell r="E726" t="str">
            <v>Topstitch at side bottom  part</v>
          </cell>
          <cell r="F726" t="str">
            <v>M</v>
          </cell>
          <cell r="G726" t="str">
            <v>1N2TLS-UBT</v>
          </cell>
          <cell r="H726">
            <v>0.8</v>
          </cell>
          <cell r="I726">
            <v>75</v>
          </cell>
        </row>
        <row r="727">
          <cell r="A727">
            <v>723</v>
          </cell>
          <cell r="B727" t="str">
            <v>Mens</v>
          </cell>
          <cell r="C727">
            <v>8</v>
          </cell>
          <cell r="D727" t="str">
            <v>Front part</v>
          </cell>
          <cell r="E727" t="str">
            <v>Attach at side  bottom  2 pannel</v>
          </cell>
          <cell r="F727" t="str">
            <v>M</v>
          </cell>
          <cell r="G727" t="str">
            <v>2N5TOL</v>
          </cell>
          <cell r="H727">
            <v>0.4</v>
          </cell>
          <cell r="I727">
            <v>150</v>
          </cell>
        </row>
        <row r="728">
          <cell r="A728">
            <v>724</v>
          </cell>
          <cell r="B728" t="str">
            <v>Mens</v>
          </cell>
          <cell r="C728">
            <v>8</v>
          </cell>
          <cell r="D728" t="str">
            <v>Front part</v>
          </cell>
          <cell r="E728" t="str">
            <v>attach front shoulder  pannel</v>
          </cell>
          <cell r="F728" t="str">
            <v>M</v>
          </cell>
          <cell r="G728" t="str">
            <v>2N5TOL</v>
          </cell>
          <cell r="H728">
            <v>0.4</v>
          </cell>
          <cell r="I728">
            <v>150</v>
          </cell>
        </row>
        <row r="729">
          <cell r="A729">
            <v>725</v>
          </cell>
          <cell r="B729" t="str">
            <v>Mens</v>
          </cell>
          <cell r="C729">
            <v>8</v>
          </cell>
          <cell r="D729" t="str">
            <v>Front part</v>
          </cell>
          <cell r="E729" t="str">
            <v>attach elastic to front top pannel</v>
          </cell>
          <cell r="F729" t="str">
            <v>M</v>
          </cell>
          <cell r="G729" t="str">
            <v>1N2TLS-UBT</v>
          </cell>
          <cell r="H729">
            <v>0.5</v>
          </cell>
          <cell r="I729">
            <v>120</v>
          </cell>
        </row>
        <row r="730">
          <cell r="A730">
            <v>726</v>
          </cell>
          <cell r="B730" t="str">
            <v>Mens</v>
          </cell>
          <cell r="C730">
            <v>8</v>
          </cell>
          <cell r="D730" t="str">
            <v>Front part</v>
          </cell>
          <cell r="E730" t="str">
            <v>attach front shoulder  pannel</v>
          </cell>
          <cell r="F730" t="str">
            <v>M</v>
          </cell>
          <cell r="G730" t="str">
            <v>1N2TLS-UBT</v>
          </cell>
          <cell r="H730">
            <v>0.85</v>
          </cell>
          <cell r="I730">
            <v>70.588235294117652</v>
          </cell>
        </row>
        <row r="731">
          <cell r="A731">
            <v>727</v>
          </cell>
          <cell r="B731" t="str">
            <v>Mens</v>
          </cell>
          <cell r="C731">
            <v>8</v>
          </cell>
          <cell r="D731" t="str">
            <v>Front part</v>
          </cell>
          <cell r="E731" t="str">
            <v>Attach front placket by folder</v>
          </cell>
          <cell r="F731" t="str">
            <v>M</v>
          </cell>
          <cell r="G731" t="str">
            <v>2N4TLSUBT</v>
          </cell>
          <cell r="H731">
            <v>0.4</v>
          </cell>
          <cell r="I731">
            <v>150</v>
          </cell>
        </row>
        <row r="732">
          <cell r="A732">
            <v>728</v>
          </cell>
          <cell r="B732" t="str">
            <v>Mens</v>
          </cell>
          <cell r="C732">
            <v>8</v>
          </cell>
          <cell r="D732" t="str">
            <v>Front part</v>
          </cell>
          <cell r="E732" t="str">
            <v>Overlock  front top pannel</v>
          </cell>
          <cell r="F732" t="str">
            <v>M</v>
          </cell>
          <cell r="G732" t="str">
            <v>1N3TOL</v>
          </cell>
          <cell r="H732">
            <v>0.3</v>
          </cell>
          <cell r="I732">
            <v>200</v>
          </cell>
        </row>
        <row r="733">
          <cell r="A733">
            <v>729</v>
          </cell>
          <cell r="B733" t="str">
            <v>Mens</v>
          </cell>
          <cell r="C733">
            <v>8</v>
          </cell>
          <cell r="D733" t="str">
            <v>Front part</v>
          </cell>
          <cell r="E733" t="str">
            <v>close back top &amp; bottom pannel</v>
          </cell>
          <cell r="F733" t="str">
            <v>M</v>
          </cell>
          <cell r="G733" t="str">
            <v>1N3TOL</v>
          </cell>
          <cell r="H733">
            <v>0.8</v>
          </cell>
          <cell r="I733">
            <v>75</v>
          </cell>
        </row>
        <row r="734">
          <cell r="A734">
            <v>730</v>
          </cell>
          <cell r="B734" t="str">
            <v>Mens</v>
          </cell>
          <cell r="C734">
            <v>8</v>
          </cell>
          <cell r="D734" t="str">
            <v>Front part</v>
          </cell>
          <cell r="E734" t="str">
            <v xml:space="preserve">Make front  dart x2 </v>
          </cell>
          <cell r="F734" t="str">
            <v>M</v>
          </cell>
          <cell r="G734" t="str">
            <v>1N2TLS-UBT</v>
          </cell>
          <cell r="H734">
            <v>0.45</v>
          </cell>
          <cell r="I734">
            <v>133.33333333333334</v>
          </cell>
        </row>
        <row r="735">
          <cell r="A735">
            <v>731</v>
          </cell>
          <cell r="B735" t="str">
            <v>Mens</v>
          </cell>
          <cell r="C735">
            <v>8</v>
          </cell>
          <cell r="D735" t="str">
            <v>Front part</v>
          </cell>
          <cell r="E735" t="str">
            <v>Topstitch at side front &amp; back middle part</v>
          </cell>
          <cell r="F735" t="str">
            <v>M</v>
          </cell>
          <cell r="G735" t="str">
            <v>1N2TLS-UBT</v>
          </cell>
          <cell r="H735">
            <v>0.4</v>
          </cell>
          <cell r="I735">
            <v>150</v>
          </cell>
        </row>
        <row r="736">
          <cell r="A736">
            <v>732</v>
          </cell>
          <cell r="B736" t="str">
            <v>Mens</v>
          </cell>
          <cell r="C736">
            <v>8</v>
          </cell>
          <cell r="D736" t="str">
            <v>Front part</v>
          </cell>
          <cell r="E736" t="str">
            <v>Attach front middle  pannel X2</v>
          </cell>
          <cell r="F736" t="str">
            <v>M</v>
          </cell>
          <cell r="G736" t="str">
            <v>1N2TLS-UBT</v>
          </cell>
          <cell r="H736">
            <v>0.35</v>
          </cell>
          <cell r="I736">
            <v>171.42857142857144</v>
          </cell>
        </row>
        <row r="737">
          <cell r="A737">
            <v>733</v>
          </cell>
          <cell r="B737" t="str">
            <v>Mens</v>
          </cell>
          <cell r="C737">
            <v>8</v>
          </cell>
          <cell r="D737" t="str">
            <v>Front part</v>
          </cell>
          <cell r="E737" t="str">
            <v>Attach front middle pannel  X2</v>
          </cell>
          <cell r="F737" t="str">
            <v>M</v>
          </cell>
          <cell r="G737" t="str">
            <v>2N5TOL</v>
          </cell>
          <cell r="H737">
            <v>0.8</v>
          </cell>
          <cell r="I737">
            <v>75</v>
          </cell>
        </row>
        <row r="738">
          <cell r="A738">
            <v>734</v>
          </cell>
          <cell r="B738" t="str">
            <v>Mens</v>
          </cell>
          <cell r="C738">
            <v>8</v>
          </cell>
          <cell r="D738" t="str">
            <v>Front part</v>
          </cell>
          <cell r="E738" t="str">
            <v xml:space="preserve">Tack front </v>
          </cell>
          <cell r="F738" t="str">
            <v>M</v>
          </cell>
          <cell r="G738" t="str">
            <v>1N2TLS-UBT</v>
          </cell>
          <cell r="H738">
            <v>1</v>
          </cell>
          <cell r="I738">
            <v>60</v>
          </cell>
        </row>
        <row r="739">
          <cell r="A739">
            <v>735</v>
          </cell>
          <cell r="B739" t="str">
            <v>Mens</v>
          </cell>
          <cell r="C739">
            <v>8</v>
          </cell>
          <cell r="D739" t="str">
            <v>Front part</v>
          </cell>
          <cell r="E739" t="str">
            <v>Care Label to front</v>
          </cell>
          <cell r="F739" t="str">
            <v>M</v>
          </cell>
          <cell r="G739" t="str">
            <v>1N2TLS-UBT</v>
          </cell>
          <cell r="H739">
            <v>0.2</v>
          </cell>
          <cell r="I739">
            <v>300</v>
          </cell>
        </row>
        <row r="740">
          <cell r="A740">
            <v>736</v>
          </cell>
          <cell r="B740" t="str">
            <v>Mens</v>
          </cell>
          <cell r="C740">
            <v>8</v>
          </cell>
          <cell r="D740" t="str">
            <v>Front part</v>
          </cell>
          <cell r="E740" t="str">
            <v>Make front  part pleate x16</v>
          </cell>
          <cell r="F740" t="str">
            <v>M</v>
          </cell>
          <cell r="G740" t="str">
            <v>1N2TLS-UBT</v>
          </cell>
          <cell r="H740">
            <v>4</v>
          </cell>
          <cell r="I740">
            <v>15</v>
          </cell>
        </row>
        <row r="741">
          <cell r="A741">
            <v>737</v>
          </cell>
          <cell r="B741" t="str">
            <v>Mens</v>
          </cell>
          <cell r="C741">
            <v>8</v>
          </cell>
          <cell r="D741" t="str">
            <v>Front part</v>
          </cell>
          <cell r="E741" t="str">
            <v>Topstitch front bust dart x2</v>
          </cell>
          <cell r="F741" t="str">
            <v>M</v>
          </cell>
          <cell r="G741" t="str">
            <v>1N2TLS-UBT</v>
          </cell>
          <cell r="H741">
            <v>0.4</v>
          </cell>
          <cell r="I741">
            <v>150</v>
          </cell>
        </row>
        <row r="742">
          <cell r="A742">
            <v>738</v>
          </cell>
          <cell r="B742" t="str">
            <v>Mens</v>
          </cell>
          <cell r="C742">
            <v>8</v>
          </cell>
          <cell r="D742" t="str">
            <v>Front part</v>
          </cell>
          <cell r="E742" t="str">
            <v xml:space="preserve">Make front bast dart x2 </v>
          </cell>
          <cell r="F742" t="str">
            <v>M</v>
          </cell>
          <cell r="G742" t="str">
            <v>1N2TLS-UBT</v>
          </cell>
          <cell r="H742">
            <v>0.4</v>
          </cell>
          <cell r="I742">
            <v>150</v>
          </cell>
          <cell r="J742" t="str">
            <v>plain</v>
          </cell>
          <cell r="K742" t="str">
            <v>plain</v>
          </cell>
        </row>
        <row r="743">
          <cell r="A743">
            <v>739</v>
          </cell>
          <cell r="B743" t="str">
            <v>Mens</v>
          </cell>
          <cell r="C743">
            <v>8</v>
          </cell>
          <cell r="D743" t="str">
            <v>Front part</v>
          </cell>
          <cell r="E743" t="str">
            <v>Topstitch front dart x2</v>
          </cell>
          <cell r="F743" t="str">
            <v>M</v>
          </cell>
          <cell r="G743" t="str">
            <v>1N2TLS-UBT</v>
          </cell>
          <cell r="H743">
            <v>0.35</v>
          </cell>
          <cell r="I743">
            <v>171.42857142857144</v>
          </cell>
          <cell r="J743" t="str">
            <v>2mm CR</v>
          </cell>
          <cell r="K743" t="str">
            <v>plain</v>
          </cell>
        </row>
        <row r="744">
          <cell r="A744">
            <v>740</v>
          </cell>
          <cell r="B744" t="str">
            <v>Mens</v>
          </cell>
          <cell r="C744">
            <v>8</v>
          </cell>
          <cell r="D744" t="str">
            <v>Front part</v>
          </cell>
          <cell r="E744" t="str">
            <v>Attach front pannel by gauge X2</v>
          </cell>
          <cell r="F744" t="str">
            <v>M</v>
          </cell>
          <cell r="G744" t="str">
            <v>2N5TOL</v>
          </cell>
          <cell r="H744">
            <v>0.56999999999999995</v>
          </cell>
          <cell r="I744">
            <v>105.26315789473685</v>
          </cell>
        </row>
        <row r="745">
          <cell r="A745">
            <v>741</v>
          </cell>
          <cell r="B745" t="str">
            <v>Mens</v>
          </cell>
          <cell r="C745">
            <v>8</v>
          </cell>
          <cell r="D745" t="str">
            <v>Front part</v>
          </cell>
          <cell r="E745" t="str">
            <v>Topstitch front pannel</v>
          </cell>
          <cell r="F745" t="str">
            <v>M</v>
          </cell>
          <cell r="G745" t="str">
            <v>1N2TLS-UBT</v>
          </cell>
          <cell r="H745">
            <v>0.5</v>
          </cell>
          <cell r="I745">
            <v>120</v>
          </cell>
        </row>
        <row r="746">
          <cell r="A746">
            <v>742</v>
          </cell>
          <cell r="B746" t="str">
            <v>Mens</v>
          </cell>
          <cell r="C746">
            <v>8</v>
          </cell>
          <cell r="D746" t="str">
            <v>Front part</v>
          </cell>
          <cell r="E746" t="str">
            <v>Mark front  for dart</v>
          </cell>
          <cell r="F746" t="str">
            <v>H</v>
          </cell>
          <cell r="G746" t="str">
            <v>Plain Table</v>
          </cell>
          <cell r="H746">
            <v>1</v>
          </cell>
          <cell r="I746">
            <v>60</v>
          </cell>
        </row>
        <row r="747">
          <cell r="A747">
            <v>743</v>
          </cell>
          <cell r="B747" t="str">
            <v>Mens</v>
          </cell>
          <cell r="C747">
            <v>8</v>
          </cell>
          <cell r="D747" t="str">
            <v>Front part</v>
          </cell>
          <cell r="E747" t="str">
            <v>Make front  part pleate  x6</v>
          </cell>
          <cell r="F747" t="str">
            <v>M</v>
          </cell>
          <cell r="G747" t="str">
            <v>1N2TLS-UBT</v>
          </cell>
          <cell r="H747">
            <v>1.65</v>
          </cell>
          <cell r="I747">
            <v>36.363636363636367</v>
          </cell>
        </row>
        <row r="748">
          <cell r="A748">
            <v>744</v>
          </cell>
          <cell r="B748" t="str">
            <v>Mens</v>
          </cell>
          <cell r="C748">
            <v>8</v>
          </cell>
          <cell r="D748" t="str">
            <v>Front part</v>
          </cell>
          <cell r="E748" t="str">
            <v>Topstitch  front upper &amp; lower part</v>
          </cell>
          <cell r="F748" t="str">
            <v>M</v>
          </cell>
          <cell r="G748" t="str">
            <v>1N2TLS-UBT</v>
          </cell>
          <cell r="H748">
            <v>0.4</v>
          </cell>
          <cell r="I748">
            <v>150</v>
          </cell>
        </row>
        <row r="749">
          <cell r="A749">
            <v>745</v>
          </cell>
          <cell r="B749" t="str">
            <v>Mens</v>
          </cell>
          <cell r="C749">
            <v>8</v>
          </cell>
          <cell r="D749" t="str">
            <v>Front part</v>
          </cell>
          <cell r="E749" t="str">
            <v xml:space="preserve">press front dart </v>
          </cell>
          <cell r="F749" t="str">
            <v>I</v>
          </cell>
          <cell r="G749" t="str">
            <v>Iron Table</v>
          </cell>
          <cell r="H749">
            <v>0.6</v>
          </cell>
          <cell r="I749">
            <v>100</v>
          </cell>
        </row>
        <row r="750">
          <cell r="A750">
            <v>746</v>
          </cell>
          <cell r="B750" t="str">
            <v>Mens</v>
          </cell>
          <cell r="C750">
            <v>8</v>
          </cell>
          <cell r="D750" t="str">
            <v>Front part</v>
          </cell>
          <cell r="E750" t="str">
            <v>Attach front upper &amp; lower part</v>
          </cell>
          <cell r="F750" t="str">
            <v>M</v>
          </cell>
          <cell r="G750" t="str">
            <v>2N5TOL</v>
          </cell>
          <cell r="H750">
            <v>0.4</v>
          </cell>
          <cell r="I750">
            <v>150</v>
          </cell>
        </row>
        <row r="751">
          <cell r="A751">
            <v>747</v>
          </cell>
          <cell r="B751" t="str">
            <v>Mens</v>
          </cell>
          <cell r="C751">
            <v>8</v>
          </cell>
          <cell r="D751" t="str">
            <v>Front part</v>
          </cell>
          <cell r="E751" t="str">
            <v xml:space="preserve">Mark Front For pkt Attach  &amp; Bust dart </v>
          </cell>
          <cell r="F751" t="str">
            <v>H</v>
          </cell>
          <cell r="G751" t="str">
            <v>Plain Table</v>
          </cell>
          <cell r="H751">
            <v>0.4</v>
          </cell>
          <cell r="I751">
            <v>150</v>
          </cell>
          <cell r="L751" t="str">
            <v>check</v>
          </cell>
        </row>
        <row r="752">
          <cell r="A752">
            <v>748</v>
          </cell>
          <cell r="B752" t="str">
            <v>Mens</v>
          </cell>
          <cell r="C752">
            <v>8</v>
          </cell>
          <cell r="D752" t="str">
            <v>Front part</v>
          </cell>
          <cell r="E752" t="str">
            <v>Mark Pkt with Front x2</v>
          </cell>
          <cell r="F752" t="str">
            <v>H</v>
          </cell>
          <cell r="G752" t="str">
            <v>Plain Table</v>
          </cell>
          <cell r="H752">
            <v>0.35</v>
          </cell>
          <cell r="I752">
            <v>171.42857142857144</v>
          </cell>
        </row>
        <row r="753">
          <cell r="A753">
            <v>749</v>
          </cell>
          <cell r="B753" t="str">
            <v>Mens</v>
          </cell>
          <cell r="C753">
            <v>8</v>
          </cell>
          <cell r="D753" t="str">
            <v>Front part</v>
          </cell>
          <cell r="E753" t="str">
            <v>Mark Pkt &amp; Front x1</v>
          </cell>
          <cell r="F753" t="str">
            <v>H</v>
          </cell>
          <cell r="G753" t="str">
            <v>Plain Table</v>
          </cell>
          <cell r="H753">
            <v>0.4</v>
          </cell>
          <cell r="I753">
            <v>150</v>
          </cell>
        </row>
        <row r="754">
          <cell r="A754">
            <v>750</v>
          </cell>
          <cell r="B754" t="str">
            <v>Mens</v>
          </cell>
          <cell r="C754">
            <v>8</v>
          </cell>
          <cell r="D754" t="str">
            <v>Front part</v>
          </cell>
          <cell r="E754" t="str">
            <v>Mark Flap Placement</v>
          </cell>
          <cell r="F754" t="str">
            <v>H</v>
          </cell>
          <cell r="G754" t="str">
            <v>Plain Table</v>
          </cell>
          <cell r="H754">
            <v>0.45</v>
          </cell>
          <cell r="I754">
            <v>133.33333333333334</v>
          </cell>
        </row>
        <row r="755">
          <cell r="A755">
            <v>751</v>
          </cell>
          <cell r="B755" t="str">
            <v>Mens</v>
          </cell>
          <cell r="C755">
            <v>8</v>
          </cell>
          <cell r="D755" t="str">
            <v>Front part</v>
          </cell>
          <cell r="E755" t="str">
            <v>Flap attach</v>
          </cell>
          <cell r="F755" t="str">
            <v>M</v>
          </cell>
          <cell r="G755" t="str">
            <v>1N2TLS-UBT</v>
          </cell>
          <cell r="H755">
            <v>0.4</v>
          </cell>
          <cell r="I755">
            <v>150</v>
          </cell>
          <cell r="J755" t="str">
            <v>plain</v>
          </cell>
          <cell r="K755" t="str">
            <v>plain</v>
          </cell>
        </row>
        <row r="756">
          <cell r="A756">
            <v>752</v>
          </cell>
          <cell r="B756" t="str">
            <v>Mens</v>
          </cell>
          <cell r="C756">
            <v>8</v>
          </cell>
          <cell r="D756" t="str">
            <v>Front part</v>
          </cell>
          <cell r="E756" t="str">
            <v>Flap attach w/ guild - Match</v>
          </cell>
          <cell r="F756" t="str">
            <v>M</v>
          </cell>
          <cell r="G756" t="str">
            <v>2N4TLSUBT</v>
          </cell>
          <cell r="H756">
            <v>0.45</v>
          </cell>
          <cell r="I756">
            <v>133.33333333333334</v>
          </cell>
        </row>
        <row r="757">
          <cell r="A757">
            <v>753</v>
          </cell>
          <cell r="B757" t="str">
            <v>Mens</v>
          </cell>
          <cell r="C757">
            <v>8</v>
          </cell>
          <cell r="D757" t="str">
            <v>Front part</v>
          </cell>
          <cell r="E757" t="str">
            <v>Cut Excess @ Flap Seam</v>
          </cell>
          <cell r="F757" t="str">
            <v>H</v>
          </cell>
          <cell r="G757" t="str">
            <v>Plain Table</v>
          </cell>
          <cell r="H757">
            <v>0.35</v>
          </cell>
          <cell r="I757">
            <v>171.42857142857144</v>
          </cell>
        </row>
        <row r="758">
          <cell r="A758">
            <v>754</v>
          </cell>
          <cell r="B758" t="str">
            <v>Mens</v>
          </cell>
          <cell r="C758">
            <v>8</v>
          </cell>
          <cell r="D758" t="str">
            <v>Front part</v>
          </cell>
          <cell r="E758" t="str">
            <v>T/St at Flap seam 5mm</v>
          </cell>
          <cell r="F758" t="str">
            <v>M</v>
          </cell>
          <cell r="G758" t="str">
            <v>1N2TLS-UBT</v>
          </cell>
          <cell r="H758">
            <v>0.35</v>
          </cell>
          <cell r="I758">
            <v>171.42857142857144</v>
          </cell>
          <cell r="J758" t="str">
            <v>5mm CR</v>
          </cell>
          <cell r="K758" t="str">
            <v>plain</v>
          </cell>
        </row>
        <row r="759">
          <cell r="A759">
            <v>755</v>
          </cell>
          <cell r="B759" t="str">
            <v>Mens</v>
          </cell>
          <cell r="C759">
            <v>8</v>
          </cell>
          <cell r="D759" t="str">
            <v>Front part</v>
          </cell>
          <cell r="E759" t="str">
            <v xml:space="preserve">attach front waist </v>
          </cell>
          <cell r="F759" t="str">
            <v>M</v>
          </cell>
          <cell r="G759" t="str">
            <v>1N2TLS-UBT</v>
          </cell>
          <cell r="H759">
            <v>0.65</v>
          </cell>
          <cell r="I759">
            <v>92.307692307692307</v>
          </cell>
        </row>
        <row r="760">
          <cell r="A760">
            <v>756</v>
          </cell>
          <cell r="B760" t="str">
            <v>Mens</v>
          </cell>
          <cell r="C760">
            <v>8</v>
          </cell>
          <cell r="D760" t="str">
            <v>Front part</v>
          </cell>
          <cell r="E760" t="str">
            <v>Topstitch   front waist</v>
          </cell>
          <cell r="F760" t="str">
            <v>M</v>
          </cell>
          <cell r="G760" t="str">
            <v>1N2TLS-UBT</v>
          </cell>
          <cell r="H760">
            <v>0.5</v>
          </cell>
          <cell r="I760">
            <v>120</v>
          </cell>
        </row>
        <row r="761">
          <cell r="A761">
            <v>757</v>
          </cell>
          <cell r="B761" t="str">
            <v>Mens</v>
          </cell>
          <cell r="C761">
            <v>8</v>
          </cell>
          <cell r="D761" t="str">
            <v>Front part</v>
          </cell>
          <cell r="E761" t="str">
            <v>Pkt attach Round with V tack x 2</v>
          </cell>
          <cell r="F761" t="str">
            <v>M</v>
          </cell>
          <cell r="G761" t="str">
            <v>1N2TLS-UBT</v>
          </cell>
          <cell r="H761">
            <v>0.92</v>
          </cell>
          <cell r="I761">
            <v>65.217391304347828</v>
          </cell>
        </row>
        <row r="762">
          <cell r="A762">
            <v>758</v>
          </cell>
          <cell r="B762" t="str">
            <v>Mens</v>
          </cell>
          <cell r="C762">
            <v>8</v>
          </cell>
          <cell r="D762" t="str">
            <v>Front part</v>
          </cell>
          <cell r="E762" t="str">
            <v>Pkt attach  x 1</v>
          </cell>
          <cell r="F762" t="str">
            <v>M</v>
          </cell>
          <cell r="G762" t="str">
            <v>1N2TLS-UBT</v>
          </cell>
          <cell r="H762">
            <v>0.65</v>
          </cell>
          <cell r="I762">
            <v>92.307692307692307</v>
          </cell>
          <cell r="J762" t="str">
            <v>1/16" CR</v>
          </cell>
          <cell r="K762" t="str">
            <v>plain</v>
          </cell>
          <cell r="L762" t="str">
            <v>check</v>
          </cell>
        </row>
        <row r="763">
          <cell r="A763">
            <v>759</v>
          </cell>
          <cell r="B763" t="str">
            <v>Mens</v>
          </cell>
          <cell r="C763">
            <v>8</v>
          </cell>
          <cell r="D763" t="str">
            <v>Front part</v>
          </cell>
          <cell r="E763" t="str">
            <v>Pkt attach with opstitch  x 1</v>
          </cell>
          <cell r="F763" t="str">
            <v>M</v>
          </cell>
          <cell r="G763" t="str">
            <v>1N2TLS-UBT</v>
          </cell>
          <cell r="H763">
            <v>1.2</v>
          </cell>
          <cell r="I763">
            <v>50</v>
          </cell>
        </row>
        <row r="764">
          <cell r="A764">
            <v>760</v>
          </cell>
          <cell r="B764" t="str">
            <v>Mens</v>
          </cell>
          <cell r="C764">
            <v>8</v>
          </cell>
          <cell r="D764" t="str">
            <v>Front part</v>
          </cell>
          <cell r="E764" t="str">
            <v>Pkt attach with label &amp; 1/4 topstitch  x 1</v>
          </cell>
          <cell r="F764" t="str">
            <v>M</v>
          </cell>
          <cell r="G764" t="str">
            <v>1N2TLS-UBT</v>
          </cell>
          <cell r="H764">
            <v>1.5</v>
          </cell>
          <cell r="I764">
            <v>40</v>
          </cell>
          <cell r="J764" t="str">
            <v>1/16" CR</v>
          </cell>
          <cell r="K764" t="str">
            <v>plain</v>
          </cell>
        </row>
        <row r="765">
          <cell r="A765">
            <v>761</v>
          </cell>
          <cell r="B765" t="str">
            <v>Mens</v>
          </cell>
          <cell r="C765">
            <v>8</v>
          </cell>
          <cell r="D765" t="str">
            <v>Front part</v>
          </cell>
          <cell r="E765" t="str">
            <v>Pkt attach x 1</v>
          </cell>
          <cell r="F765" t="str">
            <v>M</v>
          </cell>
          <cell r="G765" t="str">
            <v>1N2TLS-UBT</v>
          </cell>
          <cell r="H765">
            <v>0.9</v>
          </cell>
          <cell r="I765">
            <v>66.666666666666671</v>
          </cell>
          <cell r="J765" t="str">
            <v>1/16" CR</v>
          </cell>
        </row>
        <row r="766">
          <cell r="A766">
            <v>762</v>
          </cell>
          <cell r="B766" t="str">
            <v>Mens</v>
          </cell>
          <cell r="C766">
            <v>8</v>
          </cell>
          <cell r="D766" t="str">
            <v>Front part</v>
          </cell>
          <cell r="E766" t="str">
            <v>1/2" TS @ Pkt  x2</v>
          </cell>
          <cell r="F766" t="str">
            <v>M</v>
          </cell>
          <cell r="G766" t="str">
            <v>1N2TLS-UBT</v>
          </cell>
          <cell r="H766">
            <v>0.7</v>
          </cell>
          <cell r="I766">
            <v>85.714285714285722</v>
          </cell>
        </row>
        <row r="767">
          <cell r="A767">
            <v>763</v>
          </cell>
          <cell r="B767" t="str">
            <v>Mens</v>
          </cell>
          <cell r="C767">
            <v>8</v>
          </cell>
          <cell r="D767" t="str">
            <v>Front part</v>
          </cell>
          <cell r="E767" t="str">
            <v>1/4" " TS @ Pkt x2</v>
          </cell>
          <cell r="F767" t="str">
            <v>M</v>
          </cell>
          <cell r="G767" t="str">
            <v>1N2TLS-UBT</v>
          </cell>
          <cell r="H767">
            <v>0.75</v>
          </cell>
          <cell r="I767">
            <v>80</v>
          </cell>
          <cell r="J767" t="str">
            <v>5/16" CR</v>
          </cell>
          <cell r="K767" t="str">
            <v>plain</v>
          </cell>
          <cell r="L767" t="str">
            <v>check</v>
          </cell>
        </row>
        <row r="768">
          <cell r="A768">
            <v>764</v>
          </cell>
          <cell r="B768" t="str">
            <v>Mens</v>
          </cell>
          <cell r="C768">
            <v>8</v>
          </cell>
          <cell r="D768" t="str">
            <v>Front part</v>
          </cell>
          <cell r="E768" t="str">
            <v>Trim neck front with pocket mark</v>
          </cell>
          <cell r="F768" t="str">
            <v>H</v>
          </cell>
          <cell r="G768" t="str">
            <v>Plain Table</v>
          </cell>
          <cell r="H768">
            <v>0.36</v>
          </cell>
          <cell r="I768">
            <v>166.66666666666669</v>
          </cell>
        </row>
        <row r="769">
          <cell r="A769">
            <v>765</v>
          </cell>
          <cell r="B769" t="str">
            <v>Mens</v>
          </cell>
          <cell r="C769">
            <v>8</v>
          </cell>
          <cell r="D769" t="str">
            <v>Front part</v>
          </cell>
          <cell r="E769" t="str">
            <v>Trim neck front ( Dbl flap )</v>
          </cell>
          <cell r="F769" t="str">
            <v>H</v>
          </cell>
          <cell r="G769" t="str">
            <v>Plain Table</v>
          </cell>
          <cell r="H769">
            <v>0.4</v>
          </cell>
          <cell r="I769">
            <v>150</v>
          </cell>
        </row>
        <row r="770">
          <cell r="A770">
            <v>766</v>
          </cell>
          <cell r="B770" t="str">
            <v>Mens</v>
          </cell>
          <cell r="C770">
            <v>8</v>
          </cell>
          <cell r="D770" t="str">
            <v>Front part</v>
          </cell>
          <cell r="E770" t="str">
            <v>B/Tack at front pleate x 58</v>
          </cell>
          <cell r="F770" t="str">
            <v>M</v>
          </cell>
          <cell r="G770" t="str">
            <v>1N2TBT-PG</v>
          </cell>
          <cell r="H770">
            <v>2.9000000000000004</v>
          </cell>
          <cell r="I770">
            <v>20.68965517241379</v>
          </cell>
          <cell r="J770" t="str">
            <v>Gauge</v>
          </cell>
        </row>
        <row r="771">
          <cell r="A771">
            <v>767</v>
          </cell>
          <cell r="B771" t="str">
            <v>Mens</v>
          </cell>
          <cell r="C771">
            <v>8</v>
          </cell>
          <cell r="D771" t="str">
            <v>Front part</v>
          </cell>
          <cell r="E771" t="str">
            <v>B/Tack at Flap &amp; pkt ( 2 x 2)</v>
          </cell>
          <cell r="F771" t="str">
            <v>M</v>
          </cell>
          <cell r="G771" t="str">
            <v>1N2TBT-PG</v>
          </cell>
          <cell r="H771">
            <v>0.2</v>
          </cell>
          <cell r="I771">
            <v>300</v>
          </cell>
        </row>
        <row r="772">
          <cell r="A772">
            <v>768</v>
          </cell>
          <cell r="B772" t="str">
            <v>Mens</v>
          </cell>
          <cell r="C772">
            <v>8</v>
          </cell>
          <cell r="D772" t="str">
            <v>Front part</v>
          </cell>
          <cell r="E772" t="str">
            <v>Make bottonhole Front x6</v>
          </cell>
          <cell r="F772" t="str">
            <v>M</v>
          </cell>
          <cell r="G772" t="str">
            <v>1N2T-BH</v>
          </cell>
          <cell r="H772">
            <v>0.42</v>
          </cell>
          <cell r="I772">
            <v>142.85714285714286</v>
          </cell>
        </row>
        <row r="773">
          <cell r="A773">
            <v>769</v>
          </cell>
          <cell r="B773" t="str">
            <v>Mens</v>
          </cell>
          <cell r="C773">
            <v>8</v>
          </cell>
          <cell r="D773" t="str">
            <v>Front part</v>
          </cell>
          <cell r="E773" t="str">
            <v>Attach front button x6</v>
          </cell>
          <cell r="F773" t="str">
            <v>M</v>
          </cell>
          <cell r="G773" t="str">
            <v>1N2TLS-BA</v>
          </cell>
          <cell r="H773">
            <v>0.42</v>
          </cell>
          <cell r="I773">
            <v>142.85714285714286</v>
          </cell>
        </row>
        <row r="774">
          <cell r="A774">
            <v>770</v>
          </cell>
          <cell r="B774" t="str">
            <v>Mens</v>
          </cell>
          <cell r="C774">
            <v>8</v>
          </cell>
          <cell r="D774" t="str">
            <v>Front part</v>
          </cell>
          <cell r="E774" t="str">
            <v>Front Side Vent Make</v>
          </cell>
          <cell r="F774" t="str">
            <v>M</v>
          </cell>
          <cell r="G774" t="str">
            <v>1N2TLS-UBT</v>
          </cell>
          <cell r="H774">
            <v>0.48</v>
          </cell>
          <cell r="I774">
            <v>125</v>
          </cell>
        </row>
        <row r="775">
          <cell r="A775">
            <v>771</v>
          </cell>
          <cell r="B775" t="str">
            <v>Mens</v>
          </cell>
          <cell r="C775">
            <v>8</v>
          </cell>
          <cell r="D775" t="str">
            <v>Front part</v>
          </cell>
          <cell r="E775" t="str">
            <v xml:space="preserve">Trim front neck </v>
          </cell>
          <cell r="F775" t="str">
            <v>H</v>
          </cell>
          <cell r="G775" t="str">
            <v>Plain Table</v>
          </cell>
          <cell r="H775">
            <v>0.35</v>
          </cell>
          <cell r="I775">
            <v>171.42857142857144</v>
          </cell>
          <cell r="J775" t="str">
            <v>Pattern</v>
          </cell>
          <cell r="L775" t="str">
            <v>check</v>
          </cell>
        </row>
        <row r="776">
          <cell r="A776">
            <v>772</v>
          </cell>
          <cell r="B776" t="str">
            <v>Mens</v>
          </cell>
          <cell r="C776">
            <v>8</v>
          </cell>
          <cell r="D776" t="str">
            <v>Front part</v>
          </cell>
          <cell r="E776" t="str">
            <v>Elastic stitch at front</v>
          </cell>
          <cell r="F776" t="str">
            <v>M</v>
          </cell>
          <cell r="G776" t="str">
            <v>2N4TLSUBT</v>
          </cell>
          <cell r="H776">
            <v>0.45</v>
          </cell>
          <cell r="I776">
            <v>133.33333333333334</v>
          </cell>
        </row>
        <row r="777">
          <cell r="A777">
            <v>773</v>
          </cell>
          <cell r="B777" t="str">
            <v>Mens</v>
          </cell>
          <cell r="C777">
            <v>8</v>
          </cell>
          <cell r="D777" t="str">
            <v>Front part</v>
          </cell>
          <cell r="E777" t="str">
            <v>Overlock front side vent</v>
          </cell>
          <cell r="F777" t="str">
            <v>M</v>
          </cell>
          <cell r="G777" t="str">
            <v>1N3TOL</v>
          </cell>
          <cell r="H777">
            <v>0.35</v>
          </cell>
          <cell r="I777">
            <v>171.42857142857144</v>
          </cell>
        </row>
        <row r="778">
          <cell r="A778">
            <v>774</v>
          </cell>
          <cell r="B778" t="str">
            <v>Mens</v>
          </cell>
          <cell r="C778">
            <v>8</v>
          </cell>
          <cell r="D778" t="str">
            <v>Front part</v>
          </cell>
          <cell r="E778" t="str">
            <v>Attach front upper with lower part</v>
          </cell>
          <cell r="F778" t="str">
            <v>M</v>
          </cell>
          <cell r="G778" t="str">
            <v>2N5TOL</v>
          </cell>
          <cell r="H778">
            <v>0.35</v>
          </cell>
          <cell r="I778">
            <v>171.42857142857144</v>
          </cell>
        </row>
        <row r="779">
          <cell r="A779">
            <v>775</v>
          </cell>
          <cell r="B779" t="str">
            <v>Mens</v>
          </cell>
          <cell r="C779">
            <v>8</v>
          </cell>
          <cell r="D779" t="str">
            <v>Front part</v>
          </cell>
          <cell r="E779" t="str">
            <v xml:space="preserve">Overlock front top pannel </v>
          </cell>
          <cell r="F779" t="str">
            <v>M</v>
          </cell>
          <cell r="G779" t="str">
            <v>1N3TOL</v>
          </cell>
          <cell r="H779">
            <v>0.3</v>
          </cell>
          <cell r="I779">
            <v>200</v>
          </cell>
        </row>
        <row r="780">
          <cell r="A780">
            <v>776</v>
          </cell>
          <cell r="B780" t="str">
            <v>Mens</v>
          </cell>
          <cell r="C780">
            <v>8</v>
          </cell>
          <cell r="D780" t="str">
            <v>Front part</v>
          </cell>
          <cell r="E780" t="str">
            <v>Sharing Front shoulder</v>
          </cell>
          <cell r="F780" t="str">
            <v>M</v>
          </cell>
          <cell r="G780" t="str">
            <v>1N2TLS-UBT</v>
          </cell>
          <cell r="H780">
            <v>0.38</v>
          </cell>
          <cell r="I780">
            <v>157.89473684210526</v>
          </cell>
        </row>
        <row r="781">
          <cell r="A781">
            <v>777</v>
          </cell>
          <cell r="B781" t="str">
            <v>Mens</v>
          </cell>
          <cell r="C781">
            <v>8</v>
          </cell>
          <cell r="D781" t="str">
            <v>Front part</v>
          </cell>
          <cell r="E781" t="str">
            <v>Attach Deco facing to front x 4</v>
          </cell>
          <cell r="F781" t="str">
            <v>M</v>
          </cell>
          <cell r="G781" t="str">
            <v>1N2TLS-UBT</v>
          </cell>
          <cell r="H781">
            <v>1.1499999999999999</v>
          </cell>
          <cell r="I781">
            <v>52.173913043478265</v>
          </cell>
        </row>
        <row r="782">
          <cell r="A782">
            <v>778</v>
          </cell>
          <cell r="B782" t="str">
            <v>Mens</v>
          </cell>
          <cell r="C782">
            <v>8</v>
          </cell>
          <cell r="D782" t="str">
            <v>Front part</v>
          </cell>
          <cell r="E782" t="str">
            <v>Make pin tack dart at front x6</v>
          </cell>
          <cell r="F782" t="str">
            <v>M</v>
          </cell>
          <cell r="G782" t="str">
            <v>1N2TLS-UBT</v>
          </cell>
          <cell r="H782">
            <v>1.25</v>
          </cell>
          <cell r="I782">
            <v>48</v>
          </cell>
        </row>
        <row r="783">
          <cell r="A783">
            <v>779</v>
          </cell>
          <cell r="B783" t="str">
            <v>Mens</v>
          </cell>
          <cell r="C783">
            <v>8</v>
          </cell>
          <cell r="D783" t="str">
            <v>Front part</v>
          </cell>
          <cell r="E783" t="str">
            <v>Attach label at pocket</v>
          </cell>
          <cell r="F783" t="str">
            <v>M</v>
          </cell>
          <cell r="G783" t="str">
            <v>1N2TLS-UBT</v>
          </cell>
          <cell r="H783">
            <v>0.4</v>
          </cell>
          <cell r="I783">
            <v>150</v>
          </cell>
        </row>
        <row r="784">
          <cell r="A784">
            <v>780</v>
          </cell>
          <cell r="B784" t="str">
            <v>Mens</v>
          </cell>
          <cell r="C784">
            <v>8</v>
          </cell>
          <cell r="D784" t="str">
            <v>Front part</v>
          </cell>
          <cell r="E784" t="str">
            <v>Make smoking  bottom 2 pannel</v>
          </cell>
          <cell r="F784" t="str">
            <v>M</v>
          </cell>
          <cell r="G784" t="str">
            <v>6N12TCS-smoking</v>
          </cell>
          <cell r="H784">
            <v>0.6</v>
          </cell>
          <cell r="I784">
            <v>100</v>
          </cell>
        </row>
        <row r="785">
          <cell r="A785">
            <v>781</v>
          </cell>
          <cell r="B785" t="str">
            <v>Mens</v>
          </cell>
          <cell r="C785">
            <v>8</v>
          </cell>
          <cell r="D785" t="str">
            <v>Front part</v>
          </cell>
          <cell r="E785" t="str">
            <v>Make shoulder front patch</v>
          </cell>
          <cell r="F785" t="str">
            <v>M</v>
          </cell>
          <cell r="G785" t="str">
            <v>1N2TLS-UBT</v>
          </cell>
          <cell r="H785">
            <v>0.4</v>
          </cell>
          <cell r="I785">
            <v>150</v>
          </cell>
        </row>
        <row r="786">
          <cell r="A786">
            <v>782</v>
          </cell>
          <cell r="B786" t="str">
            <v>Mens</v>
          </cell>
          <cell r="C786">
            <v>8</v>
          </cell>
          <cell r="D786" t="str">
            <v>Front part</v>
          </cell>
          <cell r="E786" t="str">
            <v>Trims &amp; check back front smoking</v>
          </cell>
          <cell r="F786" t="str">
            <v>H</v>
          </cell>
          <cell r="G786" t="str">
            <v>Plain Table</v>
          </cell>
          <cell r="H786">
            <v>0.5</v>
          </cell>
          <cell r="I786">
            <v>120</v>
          </cell>
        </row>
        <row r="787">
          <cell r="A787">
            <v>783</v>
          </cell>
          <cell r="B787" t="str">
            <v>Mens</v>
          </cell>
          <cell r="C787">
            <v>8</v>
          </cell>
          <cell r="D787" t="str">
            <v>Front part</v>
          </cell>
          <cell r="E787" t="str">
            <v>Topstitch shoulder patch</v>
          </cell>
          <cell r="F787" t="str">
            <v>M</v>
          </cell>
          <cell r="G787" t="str">
            <v>1N2TLS-UBT</v>
          </cell>
          <cell r="H787">
            <v>0.4</v>
          </cell>
          <cell r="I787">
            <v>150</v>
          </cell>
        </row>
        <row r="788">
          <cell r="A788">
            <v>784</v>
          </cell>
          <cell r="B788" t="str">
            <v>Mens</v>
          </cell>
          <cell r="C788">
            <v>8</v>
          </cell>
          <cell r="D788" t="str">
            <v>Front part</v>
          </cell>
          <cell r="E788" t="str">
            <v>Attach front shoulder patch</v>
          </cell>
          <cell r="F788" t="str">
            <v>M</v>
          </cell>
          <cell r="G788" t="str">
            <v>1N2TLS-UBT</v>
          </cell>
          <cell r="H788">
            <v>0.5</v>
          </cell>
          <cell r="I788">
            <v>120</v>
          </cell>
        </row>
        <row r="789">
          <cell r="A789">
            <v>785</v>
          </cell>
          <cell r="B789" t="str">
            <v>Mens</v>
          </cell>
          <cell r="C789">
            <v>8</v>
          </cell>
          <cell r="D789" t="str">
            <v>Front part</v>
          </cell>
          <cell r="E789" t="str">
            <v>tack shoulder patch with arm</v>
          </cell>
          <cell r="F789" t="str">
            <v>M</v>
          </cell>
          <cell r="G789" t="str">
            <v>1N2TLS-UBT</v>
          </cell>
          <cell r="H789">
            <v>0.5</v>
          </cell>
          <cell r="I789">
            <v>120</v>
          </cell>
        </row>
        <row r="790">
          <cell r="A790">
            <v>786</v>
          </cell>
          <cell r="B790" t="str">
            <v>Mens</v>
          </cell>
          <cell r="C790">
            <v>8</v>
          </cell>
          <cell r="D790" t="str">
            <v>Front part</v>
          </cell>
          <cell r="E790" t="str">
            <v>Topstitch front western  yoke</v>
          </cell>
          <cell r="F790" t="str">
            <v>M</v>
          </cell>
          <cell r="G790" t="str">
            <v>2N4TLSUBT</v>
          </cell>
          <cell r="H790">
            <v>0.4</v>
          </cell>
          <cell r="I790">
            <v>150</v>
          </cell>
        </row>
        <row r="791">
          <cell r="A791">
            <v>787</v>
          </cell>
          <cell r="B791" t="str">
            <v>Mens</v>
          </cell>
          <cell r="C791">
            <v>8</v>
          </cell>
          <cell r="D791" t="str">
            <v>Front part</v>
          </cell>
          <cell r="E791" t="str">
            <v>fold &amp; attach zipper to front</v>
          </cell>
          <cell r="F791" t="str">
            <v>M</v>
          </cell>
          <cell r="G791" t="str">
            <v>1N2TLS-UBT</v>
          </cell>
          <cell r="H791">
            <v>0.5</v>
          </cell>
          <cell r="I791">
            <v>120</v>
          </cell>
        </row>
        <row r="792">
          <cell r="A792">
            <v>788</v>
          </cell>
          <cell r="B792" t="str">
            <v>Mens</v>
          </cell>
          <cell r="C792">
            <v>8</v>
          </cell>
          <cell r="D792" t="str">
            <v>Front part</v>
          </cell>
          <cell r="E792" t="str">
            <v xml:space="preserve">Make collar  tape </v>
          </cell>
          <cell r="F792" t="str">
            <v>M</v>
          </cell>
          <cell r="G792" t="str">
            <v>1N2TLS-UBT</v>
          </cell>
          <cell r="H792">
            <v>0.3</v>
          </cell>
          <cell r="I792">
            <v>200</v>
          </cell>
        </row>
        <row r="793">
          <cell r="A793">
            <v>789</v>
          </cell>
          <cell r="B793" t="str">
            <v>Mens</v>
          </cell>
          <cell r="C793">
            <v>8</v>
          </cell>
          <cell r="D793" t="str">
            <v>Front part</v>
          </cell>
          <cell r="E793" t="str">
            <v>Tack  collar  tape opening</v>
          </cell>
          <cell r="F793" t="str">
            <v>M</v>
          </cell>
          <cell r="G793" t="str">
            <v>1N2TLS-UBT</v>
          </cell>
          <cell r="H793">
            <v>0.3</v>
          </cell>
          <cell r="I793">
            <v>200</v>
          </cell>
        </row>
        <row r="794">
          <cell r="A794">
            <v>790</v>
          </cell>
          <cell r="B794" t="str">
            <v>Mens</v>
          </cell>
          <cell r="C794">
            <v>8</v>
          </cell>
          <cell r="D794" t="str">
            <v>Front part</v>
          </cell>
          <cell r="E794" t="str">
            <v>Make shoulder pleate</v>
          </cell>
          <cell r="F794" t="str">
            <v>M</v>
          </cell>
          <cell r="G794" t="str">
            <v>1N2TLS-UBT</v>
          </cell>
          <cell r="H794">
            <v>0.85</v>
          </cell>
          <cell r="I794">
            <v>70.588235294117652</v>
          </cell>
        </row>
        <row r="795">
          <cell r="A795">
            <v>791</v>
          </cell>
          <cell r="B795" t="str">
            <v>Mens</v>
          </cell>
          <cell r="C795">
            <v>8</v>
          </cell>
          <cell r="D795" t="str">
            <v>Front part</v>
          </cell>
          <cell r="E795" t="str">
            <v>Join front left inner &amp; top two part</v>
          </cell>
          <cell r="F795" t="str">
            <v>M</v>
          </cell>
          <cell r="G795" t="str">
            <v>1N2TLS-UBT</v>
          </cell>
          <cell r="H795">
            <v>0.9</v>
          </cell>
          <cell r="I795">
            <v>66.666666666666671</v>
          </cell>
        </row>
        <row r="796">
          <cell r="A796">
            <v>792</v>
          </cell>
          <cell r="B796" t="str">
            <v>Mens</v>
          </cell>
          <cell r="C796">
            <v>8</v>
          </cell>
          <cell r="D796" t="str">
            <v>Front part</v>
          </cell>
          <cell r="E796" t="str">
            <v>Join front right inner &amp; top two part</v>
          </cell>
          <cell r="F796" t="str">
            <v>M</v>
          </cell>
          <cell r="G796" t="str">
            <v>1N2TLS-UBT</v>
          </cell>
          <cell r="H796">
            <v>0.9</v>
          </cell>
          <cell r="I796">
            <v>66.666666666666671</v>
          </cell>
        </row>
        <row r="797">
          <cell r="A797">
            <v>793</v>
          </cell>
          <cell r="B797" t="str">
            <v>Mens</v>
          </cell>
          <cell r="C797">
            <v>8</v>
          </cell>
          <cell r="D797" t="str">
            <v>Front part</v>
          </cell>
          <cell r="E797" t="str">
            <v>Topstitch left inner &amp; top part</v>
          </cell>
          <cell r="F797" t="str">
            <v>M</v>
          </cell>
          <cell r="G797" t="str">
            <v>1N2TLS-UBT</v>
          </cell>
          <cell r="H797">
            <v>0.85</v>
          </cell>
          <cell r="I797">
            <v>70.588235294117652</v>
          </cell>
        </row>
        <row r="798">
          <cell r="A798">
            <v>794</v>
          </cell>
          <cell r="B798" t="str">
            <v>Mens</v>
          </cell>
          <cell r="C798">
            <v>8</v>
          </cell>
          <cell r="D798" t="str">
            <v>Front part</v>
          </cell>
          <cell r="E798" t="str">
            <v>Topstitch Right inner &amp; top part</v>
          </cell>
          <cell r="F798" t="str">
            <v>M</v>
          </cell>
          <cell r="G798" t="str">
            <v>1N2TLS-UBT</v>
          </cell>
          <cell r="H798">
            <v>0.85</v>
          </cell>
          <cell r="I798">
            <v>70.588235294117652</v>
          </cell>
        </row>
        <row r="799">
          <cell r="A799">
            <v>795</v>
          </cell>
          <cell r="B799" t="str">
            <v>Mens</v>
          </cell>
          <cell r="C799">
            <v>8</v>
          </cell>
          <cell r="D799" t="str">
            <v>Front part</v>
          </cell>
          <cell r="E799" t="str">
            <v>Join front left &amp; right part bottom</v>
          </cell>
          <cell r="F799" t="str">
            <v>M</v>
          </cell>
          <cell r="G799" t="str">
            <v>1N2TLS-UBT</v>
          </cell>
          <cell r="H799">
            <v>0.8</v>
          </cell>
          <cell r="I799">
            <v>75</v>
          </cell>
        </row>
        <row r="800">
          <cell r="A800">
            <v>796</v>
          </cell>
          <cell r="B800" t="str">
            <v>Mens</v>
          </cell>
          <cell r="C800">
            <v>8</v>
          </cell>
          <cell r="D800" t="str">
            <v>Front part</v>
          </cell>
          <cell r="E800" t="str">
            <v>Join front left &amp; right part bottom</v>
          </cell>
          <cell r="F800" t="str">
            <v>M</v>
          </cell>
          <cell r="G800" t="str">
            <v>1N2TLS-UBT</v>
          </cell>
          <cell r="H800">
            <v>0.6</v>
          </cell>
          <cell r="I800">
            <v>100</v>
          </cell>
        </row>
        <row r="801">
          <cell r="A801">
            <v>797</v>
          </cell>
          <cell r="B801" t="str">
            <v>Mens</v>
          </cell>
          <cell r="C801">
            <v>8</v>
          </cell>
          <cell r="D801" t="str">
            <v>Front part</v>
          </cell>
          <cell r="E801" t="str">
            <v>Tack side &amp; arm opening</v>
          </cell>
          <cell r="F801" t="str">
            <v>M</v>
          </cell>
          <cell r="G801" t="str">
            <v>1N2TLS-UBT</v>
          </cell>
          <cell r="H801">
            <v>0.8</v>
          </cell>
          <cell r="I801">
            <v>75</v>
          </cell>
        </row>
        <row r="802">
          <cell r="A802">
            <v>798</v>
          </cell>
          <cell r="B802" t="str">
            <v>Mens</v>
          </cell>
          <cell r="C802">
            <v>8</v>
          </cell>
          <cell r="D802" t="str">
            <v>Front part</v>
          </cell>
          <cell r="E802" t="str">
            <v>attach left &amp; right front at collar neck</v>
          </cell>
          <cell r="F802" t="str">
            <v>M</v>
          </cell>
          <cell r="G802" t="str">
            <v>1N2TLS-UBT</v>
          </cell>
          <cell r="H802">
            <v>0.6</v>
          </cell>
          <cell r="I802">
            <v>100</v>
          </cell>
        </row>
        <row r="803">
          <cell r="A803">
            <v>799</v>
          </cell>
          <cell r="B803" t="str">
            <v>Mens</v>
          </cell>
          <cell r="C803">
            <v>8</v>
          </cell>
          <cell r="D803" t="str">
            <v>Front part</v>
          </cell>
          <cell r="E803" t="str">
            <v>attach left &amp; right front at shoulder</v>
          </cell>
          <cell r="F803" t="str">
            <v>M</v>
          </cell>
          <cell r="G803" t="str">
            <v>1N2TLS-UBT</v>
          </cell>
          <cell r="H803">
            <v>0.6</v>
          </cell>
          <cell r="I803">
            <v>100</v>
          </cell>
        </row>
        <row r="804">
          <cell r="A804">
            <v>800</v>
          </cell>
          <cell r="B804" t="str">
            <v>Mens</v>
          </cell>
          <cell r="C804">
            <v>8</v>
          </cell>
          <cell r="D804" t="str">
            <v>Front part</v>
          </cell>
          <cell r="E804" t="str">
            <v>Hem neck band iron by pattarn</v>
          </cell>
          <cell r="F804" t="str">
            <v>I</v>
          </cell>
          <cell r="G804" t="str">
            <v>Iron Table</v>
          </cell>
          <cell r="H804">
            <v>0.78</v>
          </cell>
          <cell r="I804">
            <v>76.92307692307692</v>
          </cell>
        </row>
        <row r="805">
          <cell r="A805">
            <v>801</v>
          </cell>
          <cell r="B805" t="str">
            <v>Mens</v>
          </cell>
          <cell r="C805">
            <v>8</v>
          </cell>
          <cell r="D805" t="str">
            <v>Front part</v>
          </cell>
          <cell r="E805" t="str">
            <v>Sharing Front dart</v>
          </cell>
          <cell r="F805" t="str">
            <v>M</v>
          </cell>
          <cell r="G805" t="str">
            <v>1N2TLS-UBT</v>
          </cell>
          <cell r="H805">
            <v>0.38</v>
          </cell>
          <cell r="I805">
            <v>157.89473684210526</v>
          </cell>
        </row>
        <row r="806">
          <cell r="A806">
            <v>802</v>
          </cell>
          <cell r="B806" t="str">
            <v>Mens</v>
          </cell>
          <cell r="C806">
            <v>8</v>
          </cell>
          <cell r="D806" t="str">
            <v>Front part</v>
          </cell>
          <cell r="E806" t="str">
            <v>close front shoulder pannel</v>
          </cell>
          <cell r="F806" t="str">
            <v>M</v>
          </cell>
          <cell r="G806" t="str">
            <v>1N2TLS-UBT</v>
          </cell>
          <cell r="H806">
            <v>1.2</v>
          </cell>
          <cell r="I806">
            <v>50</v>
          </cell>
        </row>
        <row r="807">
          <cell r="A807">
            <v>803</v>
          </cell>
          <cell r="B807" t="str">
            <v>Mens</v>
          </cell>
          <cell r="C807">
            <v>8</v>
          </cell>
          <cell r="D807" t="str">
            <v>Front part</v>
          </cell>
          <cell r="E807" t="str">
            <v>Cut , fold &amp; tack shoulder neck</v>
          </cell>
          <cell r="F807" t="str">
            <v>M</v>
          </cell>
          <cell r="G807" t="str">
            <v>1N2TLS-UBT</v>
          </cell>
          <cell r="H807">
            <v>0.6</v>
          </cell>
          <cell r="I807">
            <v>100</v>
          </cell>
        </row>
        <row r="808">
          <cell r="A808">
            <v>804</v>
          </cell>
          <cell r="B808" t="str">
            <v>Mens</v>
          </cell>
          <cell r="C808">
            <v>8</v>
          </cell>
          <cell r="D808" t="str">
            <v>Front part</v>
          </cell>
          <cell r="E808" t="str">
            <v>Trims front opening</v>
          </cell>
          <cell r="F808" t="str">
            <v>H</v>
          </cell>
          <cell r="G808" t="str">
            <v>Plain Table</v>
          </cell>
          <cell r="H808">
            <v>0.4</v>
          </cell>
          <cell r="I808">
            <v>150</v>
          </cell>
        </row>
        <row r="809">
          <cell r="A809">
            <v>805</v>
          </cell>
          <cell r="B809" t="str">
            <v>Mens</v>
          </cell>
          <cell r="C809">
            <v>8</v>
          </cell>
          <cell r="D809" t="str">
            <v>Front part</v>
          </cell>
          <cell r="E809" t="str">
            <v xml:space="preserve">Press front western yoke </v>
          </cell>
          <cell r="F809" t="str">
            <v>I</v>
          </cell>
          <cell r="G809" t="str">
            <v>Iron Table</v>
          </cell>
          <cell r="H809">
            <v>0.45</v>
          </cell>
          <cell r="I809">
            <v>133.33333333333334</v>
          </cell>
        </row>
        <row r="810">
          <cell r="A810">
            <v>806</v>
          </cell>
          <cell r="B810" t="str">
            <v>Mens</v>
          </cell>
          <cell r="C810">
            <v>8</v>
          </cell>
          <cell r="D810" t="str">
            <v>Front part</v>
          </cell>
          <cell r="E810" t="str">
            <v>Attach  western yoke x 2</v>
          </cell>
          <cell r="F810" t="str">
            <v>M</v>
          </cell>
          <cell r="G810" t="str">
            <v>1N2TLS-UBT</v>
          </cell>
          <cell r="H810">
            <v>0.85</v>
          </cell>
          <cell r="I810">
            <v>70.588235294117652</v>
          </cell>
        </row>
        <row r="811">
          <cell r="A811">
            <v>807</v>
          </cell>
          <cell r="B811" t="str">
            <v>Mens</v>
          </cell>
          <cell r="C811">
            <v>8</v>
          </cell>
          <cell r="D811" t="str">
            <v>Front part</v>
          </cell>
          <cell r="E811" t="str">
            <v>Measure &amp; cut arm  tape</v>
          </cell>
          <cell r="F811" t="str">
            <v>H</v>
          </cell>
          <cell r="G811" t="str">
            <v>Plain Table</v>
          </cell>
          <cell r="H811">
            <v>0.3</v>
          </cell>
          <cell r="I811">
            <v>200</v>
          </cell>
        </row>
        <row r="812">
          <cell r="A812">
            <v>808</v>
          </cell>
          <cell r="B812" t="str">
            <v>Mens</v>
          </cell>
          <cell r="C812">
            <v>8</v>
          </cell>
          <cell r="D812" t="str">
            <v>Front part</v>
          </cell>
          <cell r="E812" t="str">
            <v xml:space="preserve">Match collar band </v>
          </cell>
          <cell r="F812" t="str">
            <v>H</v>
          </cell>
          <cell r="G812" t="str">
            <v>Plain Table</v>
          </cell>
          <cell r="H812">
            <v>0.15</v>
          </cell>
          <cell r="I812">
            <v>400</v>
          </cell>
        </row>
        <row r="813">
          <cell r="A813">
            <v>809</v>
          </cell>
          <cell r="B813" t="str">
            <v>Mens</v>
          </cell>
          <cell r="C813">
            <v>8</v>
          </cell>
          <cell r="D813" t="str">
            <v>Front part</v>
          </cell>
          <cell r="E813" t="str">
            <v>Attach front western yoke</v>
          </cell>
          <cell r="F813" t="str">
            <v>M</v>
          </cell>
          <cell r="G813" t="str">
            <v>2N4TLSUBT</v>
          </cell>
          <cell r="H813">
            <v>1</v>
          </cell>
          <cell r="I813">
            <v>60</v>
          </cell>
          <cell r="L813" t="str">
            <v>check</v>
          </cell>
        </row>
        <row r="814">
          <cell r="A814">
            <v>810</v>
          </cell>
          <cell r="B814" t="str">
            <v>Mens</v>
          </cell>
          <cell r="C814">
            <v>8</v>
          </cell>
          <cell r="D814" t="str">
            <v>Front part</v>
          </cell>
          <cell r="E814" t="str">
            <v>Attach front western yoke</v>
          </cell>
          <cell r="F814" t="str">
            <v>M</v>
          </cell>
          <cell r="G814" t="str">
            <v>1N2TLS-UBT</v>
          </cell>
          <cell r="H814">
            <v>0.75</v>
          </cell>
          <cell r="I814">
            <v>80</v>
          </cell>
        </row>
        <row r="815">
          <cell r="A815">
            <v>811</v>
          </cell>
          <cell r="B815" t="str">
            <v>Mens</v>
          </cell>
          <cell r="C815">
            <v>8</v>
          </cell>
          <cell r="D815" t="str">
            <v>Front part</v>
          </cell>
          <cell r="E815" t="str">
            <v>Make front daet x4</v>
          </cell>
          <cell r="F815" t="str">
            <v>M</v>
          </cell>
          <cell r="G815" t="str">
            <v>1N2TLS-UBT</v>
          </cell>
          <cell r="H815">
            <v>0.64</v>
          </cell>
          <cell r="I815">
            <v>93.75</v>
          </cell>
          <cell r="L815" t="str">
            <v>check</v>
          </cell>
        </row>
        <row r="816">
          <cell r="A816">
            <v>812</v>
          </cell>
          <cell r="B816" t="str">
            <v>Mens</v>
          </cell>
          <cell r="C816">
            <v>8</v>
          </cell>
          <cell r="D816" t="str">
            <v>Front part</v>
          </cell>
          <cell r="E816" t="str">
            <v>Button hole front top placket x8</v>
          </cell>
          <cell r="F816" t="str">
            <v>M</v>
          </cell>
          <cell r="G816" t="str">
            <v>1N2T-BH</v>
          </cell>
          <cell r="H816">
            <v>0.55000000000000004</v>
          </cell>
          <cell r="I816">
            <v>109.09090909090908</v>
          </cell>
        </row>
        <row r="817">
          <cell r="A817">
            <v>813</v>
          </cell>
          <cell r="B817" t="str">
            <v>Mens</v>
          </cell>
          <cell r="C817">
            <v>8</v>
          </cell>
          <cell r="D817" t="str">
            <v>Front part</v>
          </cell>
          <cell r="E817" t="str">
            <v>Barttack front top placket x8</v>
          </cell>
          <cell r="F817" t="str">
            <v>M</v>
          </cell>
          <cell r="G817" t="str">
            <v>1N2TBT-PG</v>
          </cell>
          <cell r="H817">
            <v>0.5</v>
          </cell>
          <cell r="I817">
            <v>120</v>
          </cell>
        </row>
        <row r="818">
          <cell r="A818">
            <v>814</v>
          </cell>
          <cell r="B818" t="str">
            <v>Mens</v>
          </cell>
          <cell r="C818">
            <v>8</v>
          </cell>
          <cell r="D818" t="str">
            <v>Front part</v>
          </cell>
          <cell r="E818" t="str">
            <v>Tack  front Placket  x4</v>
          </cell>
          <cell r="F818" t="str">
            <v>M</v>
          </cell>
          <cell r="G818" t="str">
            <v>1N2TLS-UBT</v>
          </cell>
          <cell r="H818">
            <v>0.25</v>
          </cell>
          <cell r="I818">
            <v>240</v>
          </cell>
        </row>
        <row r="819">
          <cell r="A819">
            <v>815</v>
          </cell>
        </row>
        <row r="820">
          <cell r="A820">
            <v>816</v>
          </cell>
        </row>
        <row r="821">
          <cell r="A821">
            <v>817</v>
          </cell>
        </row>
        <row r="822">
          <cell r="A822">
            <v>818</v>
          </cell>
        </row>
        <row r="823">
          <cell r="A823">
            <v>819</v>
          </cell>
        </row>
        <row r="824">
          <cell r="A824">
            <v>820</v>
          </cell>
        </row>
        <row r="825">
          <cell r="A825">
            <v>821</v>
          </cell>
        </row>
        <row r="826">
          <cell r="A826">
            <v>822</v>
          </cell>
        </row>
        <row r="827">
          <cell r="A827">
            <v>823</v>
          </cell>
        </row>
        <row r="828">
          <cell r="A828">
            <v>824</v>
          </cell>
        </row>
        <row r="829">
          <cell r="A829">
            <v>825</v>
          </cell>
        </row>
        <row r="830">
          <cell r="A830">
            <v>826</v>
          </cell>
        </row>
        <row r="831">
          <cell r="A831">
            <v>827</v>
          </cell>
        </row>
        <row r="832">
          <cell r="A832">
            <v>828</v>
          </cell>
        </row>
        <row r="833">
          <cell r="A833">
            <v>829</v>
          </cell>
        </row>
        <row r="834">
          <cell r="A834">
            <v>830</v>
          </cell>
        </row>
        <row r="835">
          <cell r="A835">
            <v>831</v>
          </cell>
        </row>
        <row r="836">
          <cell r="A836">
            <v>832</v>
          </cell>
        </row>
        <row r="837">
          <cell r="A837">
            <v>833</v>
          </cell>
        </row>
        <row r="838">
          <cell r="A838">
            <v>834</v>
          </cell>
        </row>
        <row r="839">
          <cell r="A839">
            <v>835</v>
          </cell>
        </row>
        <row r="840">
          <cell r="A840">
            <v>836</v>
          </cell>
        </row>
        <row r="841">
          <cell r="A841">
            <v>837</v>
          </cell>
        </row>
        <row r="842">
          <cell r="A842">
            <v>838</v>
          </cell>
        </row>
        <row r="843">
          <cell r="A843">
            <v>839</v>
          </cell>
        </row>
        <row r="844">
          <cell r="A844">
            <v>840</v>
          </cell>
        </row>
        <row r="845">
          <cell r="A845">
            <v>841</v>
          </cell>
        </row>
        <row r="846">
          <cell r="A846">
            <v>842</v>
          </cell>
        </row>
        <row r="847">
          <cell r="A847">
            <v>843</v>
          </cell>
        </row>
        <row r="848">
          <cell r="A848">
            <v>844</v>
          </cell>
        </row>
        <row r="849">
          <cell r="A849">
            <v>845</v>
          </cell>
        </row>
        <row r="850">
          <cell r="A850">
            <v>846</v>
          </cell>
        </row>
        <row r="851">
          <cell r="A851">
            <v>847</v>
          </cell>
        </row>
        <row r="852">
          <cell r="A852">
            <v>848</v>
          </cell>
        </row>
        <row r="853">
          <cell r="A853">
            <v>849</v>
          </cell>
        </row>
        <row r="854">
          <cell r="A854">
            <v>850</v>
          </cell>
        </row>
        <row r="855">
          <cell r="A855">
            <v>851</v>
          </cell>
        </row>
        <row r="856">
          <cell r="A856">
            <v>852</v>
          </cell>
        </row>
        <row r="857">
          <cell r="A857">
            <v>853</v>
          </cell>
        </row>
        <row r="858">
          <cell r="A858">
            <v>854</v>
          </cell>
        </row>
        <row r="859">
          <cell r="A859">
            <v>855</v>
          </cell>
        </row>
        <row r="860">
          <cell r="A860">
            <v>856</v>
          </cell>
        </row>
        <row r="861">
          <cell r="A861">
            <v>857</v>
          </cell>
        </row>
        <row r="862">
          <cell r="A862">
            <v>858</v>
          </cell>
        </row>
        <row r="863">
          <cell r="A863">
            <v>859</v>
          </cell>
        </row>
        <row r="864">
          <cell r="A864">
            <v>860</v>
          </cell>
        </row>
        <row r="865">
          <cell r="A865">
            <v>861</v>
          </cell>
        </row>
        <row r="866">
          <cell r="A866">
            <v>862</v>
          </cell>
        </row>
        <row r="867">
          <cell r="A867">
            <v>863</v>
          </cell>
        </row>
        <row r="868">
          <cell r="A868">
            <v>864</v>
          </cell>
        </row>
        <row r="869">
          <cell r="A869">
            <v>865</v>
          </cell>
        </row>
        <row r="870">
          <cell r="A870">
            <v>866</v>
          </cell>
        </row>
        <row r="871">
          <cell r="A871">
            <v>867</v>
          </cell>
        </row>
        <row r="872">
          <cell r="A872">
            <v>868</v>
          </cell>
        </row>
        <row r="873">
          <cell r="A873">
            <v>869</v>
          </cell>
        </row>
        <row r="874">
          <cell r="A874">
            <v>870</v>
          </cell>
        </row>
        <row r="875">
          <cell r="A875">
            <v>871</v>
          </cell>
        </row>
        <row r="876">
          <cell r="A876">
            <v>872</v>
          </cell>
        </row>
        <row r="877">
          <cell r="A877">
            <v>873</v>
          </cell>
        </row>
        <row r="878">
          <cell r="A878">
            <v>874</v>
          </cell>
        </row>
        <row r="879">
          <cell r="A879">
            <v>875</v>
          </cell>
        </row>
        <row r="880">
          <cell r="A880">
            <v>876</v>
          </cell>
        </row>
        <row r="881">
          <cell r="A881">
            <v>877</v>
          </cell>
        </row>
        <row r="882">
          <cell r="A882">
            <v>878</v>
          </cell>
        </row>
        <row r="883">
          <cell r="A883">
            <v>879</v>
          </cell>
        </row>
        <row r="884">
          <cell r="A884">
            <v>880</v>
          </cell>
        </row>
        <row r="885">
          <cell r="A885">
            <v>881</v>
          </cell>
        </row>
        <row r="886">
          <cell r="A886">
            <v>882</v>
          </cell>
        </row>
        <row r="887">
          <cell r="A887">
            <v>883</v>
          </cell>
        </row>
        <row r="888">
          <cell r="A888">
            <v>884</v>
          </cell>
        </row>
        <row r="889">
          <cell r="A889">
            <v>885</v>
          </cell>
        </row>
        <row r="890">
          <cell r="A890">
            <v>886</v>
          </cell>
        </row>
        <row r="891">
          <cell r="A891">
            <v>887</v>
          </cell>
        </row>
        <row r="892">
          <cell r="A892">
            <v>888</v>
          </cell>
        </row>
        <row r="893">
          <cell r="A893">
            <v>889</v>
          </cell>
        </row>
        <row r="894">
          <cell r="A894">
            <v>890</v>
          </cell>
        </row>
        <row r="895">
          <cell r="A895">
            <v>891</v>
          </cell>
        </row>
        <row r="896">
          <cell r="A896">
            <v>892</v>
          </cell>
        </row>
        <row r="897">
          <cell r="A897">
            <v>893</v>
          </cell>
        </row>
        <row r="898">
          <cell r="A898">
            <v>894</v>
          </cell>
        </row>
        <row r="899">
          <cell r="A899">
            <v>895</v>
          </cell>
        </row>
        <row r="900">
          <cell r="A900">
            <v>896</v>
          </cell>
        </row>
        <row r="901">
          <cell r="A901">
            <v>897</v>
          </cell>
        </row>
        <row r="902">
          <cell r="A902">
            <v>898</v>
          </cell>
        </row>
        <row r="903">
          <cell r="A903">
            <v>899</v>
          </cell>
        </row>
        <row r="904">
          <cell r="A904">
            <v>900</v>
          </cell>
        </row>
        <row r="905">
          <cell r="A905">
            <v>901</v>
          </cell>
        </row>
        <row r="906">
          <cell r="A906">
            <v>902</v>
          </cell>
        </row>
        <row r="907">
          <cell r="A907">
            <v>903</v>
          </cell>
        </row>
        <row r="908">
          <cell r="A908">
            <v>904</v>
          </cell>
        </row>
        <row r="909">
          <cell r="A909">
            <v>905</v>
          </cell>
        </row>
        <row r="910">
          <cell r="A910">
            <v>906</v>
          </cell>
        </row>
        <row r="911">
          <cell r="A911">
            <v>907</v>
          </cell>
        </row>
        <row r="912">
          <cell r="A912">
            <v>908</v>
          </cell>
        </row>
        <row r="913">
          <cell r="A913">
            <v>909</v>
          </cell>
        </row>
        <row r="914">
          <cell r="A914">
            <v>910</v>
          </cell>
        </row>
        <row r="915">
          <cell r="A915">
            <v>911</v>
          </cell>
        </row>
        <row r="916">
          <cell r="A916">
            <v>912</v>
          </cell>
        </row>
        <row r="917">
          <cell r="A917">
            <v>913</v>
          </cell>
        </row>
        <row r="918">
          <cell r="A918">
            <v>914</v>
          </cell>
        </row>
        <row r="919">
          <cell r="A919">
            <v>915</v>
          </cell>
        </row>
        <row r="920">
          <cell r="A920">
            <v>916</v>
          </cell>
        </row>
        <row r="921">
          <cell r="A921">
            <v>917</v>
          </cell>
        </row>
        <row r="922">
          <cell r="A922">
            <v>918</v>
          </cell>
        </row>
        <row r="923">
          <cell r="A923">
            <v>919</v>
          </cell>
        </row>
        <row r="924">
          <cell r="A924">
            <v>920</v>
          </cell>
        </row>
        <row r="925">
          <cell r="A925">
            <v>921</v>
          </cell>
        </row>
        <row r="926">
          <cell r="A926">
            <v>922</v>
          </cell>
        </row>
        <row r="927">
          <cell r="A927">
            <v>923</v>
          </cell>
        </row>
        <row r="928">
          <cell r="A928">
            <v>924</v>
          </cell>
        </row>
        <row r="929">
          <cell r="A929">
            <v>925</v>
          </cell>
        </row>
        <row r="930">
          <cell r="A930">
            <v>926</v>
          </cell>
        </row>
        <row r="931">
          <cell r="A931">
            <v>927</v>
          </cell>
        </row>
        <row r="932">
          <cell r="A932">
            <v>928</v>
          </cell>
        </row>
        <row r="933">
          <cell r="A933">
            <v>929</v>
          </cell>
        </row>
        <row r="934">
          <cell r="A934">
            <v>930</v>
          </cell>
        </row>
        <row r="935">
          <cell r="A935">
            <v>931</v>
          </cell>
        </row>
        <row r="936">
          <cell r="A936">
            <v>932</v>
          </cell>
        </row>
        <row r="937">
          <cell r="A937">
            <v>933</v>
          </cell>
        </row>
        <row r="938">
          <cell r="A938">
            <v>934</v>
          </cell>
        </row>
        <row r="939">
          <cell r="A939">
            <v>935</v>
          </cell>
        </row>
        <row r="940">
          <cell r="A940">
            <v>936</v>
          </cell>
        </row>
        <row r="941">
          <cell r="A941">
            <v>937</v>
          </cell>
        </row>
        <row r="942">
          <cell r="A942">
            <v>938</v>
          </cell>
        </row>
        <row r="943">
          <cell r="A943">
            <v>939</v>
          </cell>
        </row>
        <row r="944">
          <cell r="A944">
            <v>940</v>
          </cell>
        </row>
        <row r="945">
          <cell r="A945">
            <v>941</v>
          </cell>
        </row>
        <row r="946">
          <cell r="A946">
            <v>942</v>
          </cell>
          <cell r="B946" t="str">
            <v>Mens</v>
          </cell>
          <cell r="C946">
            <v>9</v>
          </cell>
          <cell r="D946" t="str">
            <v>Assemble</v>
          </cell>
          <cell r="E946" t="str">
            <v>Overlock lower back &amp; front btm</v>
          </cell>
          <cell r="F946" t="str">
            <v>M</v>
          </cell>
          <cell r="G946" t="str">
            <v>1N3TOL</v>
          </cell>
          <cell r="H946">
            <v>0.6</v>
          </cell>
          <cell r="I946">
            <v>100</v>
          </cell>
        </row>
        <row r="947">
          <cell r="A947">
            <v>943</v>
          </cell>
          <cell r="B947" t="str">
            <v>Mens</v>
          </cell>
          <cell r="C947">
            <v>9</v>
          </cell>
          <cell r="D947" t="str">
            <v>Assemble</v>
          </cell>
          <cell r="E947" t="str">
            <v>Attach tape at lower  back &amp; front btm</v>
          </cell>
          <cell r="F947" t="str">
            <v>M</v>
          </cell>
          <cell r="G947" t="str">
            <v>1N2TLS-UBT</v>
          </cell>
          <cell r="H947">
            <v>0.4</v>
          </cell>
          <cell r="I947">
            <v>150</v>
          </cell>
        </row>
        <row r="948">
          <cell r="A948">
            <v>944</v>
          </cell>
          <cell r="B948" t="str">
            <v>Mens</v>
          </cell>
          <cell r="C948">
            <v>9</v>
          </cell>
          <cell r="D948" t="str">
            <v>Assemble</v>
          </cell>
          <cell r="E948" t="str">
            <v>Topstitch lower back &amp; front btm</v>
          </cell>
          <cell r="F948" t="str">
            <v>M</v>
          </cell>
          <cell r="G948" t="str">
            <v>1N2TLS-UBT</v>
          </cell>
          <cell r="H948">
            <v>0.4</v>
          </cell>
          <cell r="I948">
            <v>150</v>
          </cell>
        </row>
        <row r="949">
          <cell r="A949">
            <v>945</v>
          </cell>
          <cell r="B949" t="str">
            <v>Mens</v>
          </cell>
          <cell r="C949">
            <v>9</v>
          </cell>
          <cell r="D949" t="str">
            <v>Assemble</v>
          </cell>
          <cell r="E949" t="str">
            <v xml:space="preserve">close lower two side </v>
          </cell>
          <cell r="F949" t="str">
            <v>M</v>
          </cell>
          <cell r="G949" t="str">
            <v>1N2TLS-UBT</v>
          </cell>
          <cell r="H949">
            <v>0.4</v>
          </cell>
          <cell r="I949">
            <v>150</v>
          </cell>
        </row>
        <row r="950">
          <cell r="A950">
            <v>946</v>
          </cell>
          <cell r="B950" t="str">
            <v>Mens</v>
          </cell>
          <cell r="C950">
            <v>9</v>
          </cell>
          <cell r="D950" t="str">
            <v>Assemble</v>
          </cell>
          <cell r="E950" t="str">
            <v>second sTitch  at lower bottom</v>
          </cell>
          <cell r="F950" t="str">
            <v>M</v>
          </cell>
          <cell r="G950" t="str">
            <v>1N2TLS-UBT</v>
          </cell>
          <cell r="H950">
            <v>0.4</v>
          </cell>
          <cell r="I950">
            <v>150</v>
          </cell>
        </row>
        <row r="951">
          <cell r="A951">
            <v>947</v>
          </cell>
          <cell r="B951" t="str">
            <v>Mens</v>
          </cell>
          <cell r="C951">
            <v>9</v>
          </cell>
          <cell r="D951" t="str">
            <v>Assemble</v>
          </cell>
          <cell r="E951" t="str">
            <v>close ziiper mouth</v>
          </cell>
          <cell r="F951" t="str">
            <v>M</v>
          </cell>
          <cell r="G951" t="str">
            <v>1N2TLS-UBT</v>
          </cell>
          <cell r="H951">
            <v>0.3</v>
          </cell>
          <cell r="I951">
            <v>200</v>
          </cell>
        </row>
        <row r="952">
          <cell r="A952">
            <v>948</v>
          </cell>
          <cell r="B952" t="str">
            <v>Mens</v>
          </cell>
          <cell r="C952">
            <v>9</v>
          </cell>
          <cell r="D952" t="str">
            <v>Assemble</v>
          </cell>
          <cell r="E952" t="str">
            <v>Mark body &amp; match placket to body</v>
          </cell>
          <cell r="F952" t="str">
            <v>H</v>
          </cell>
          <cell r="G952" t="str">
            <v>Plain Table</v>
          </cell>
          <cell r="H952">
            <v>0.5</v>
          </cell>
          <cell r="I952">
            <v>120</v>
          </cell>
        </row>
        <row r="953">
          <cell r="A953">
            <v>949</v>
          </cell>
          <cell r="B953" t="str">
            <v>Mens</v>
          </cell>
          <cell r="C953">
            <v>9</v>
          </cell>
          <cell r="D953" t="str">
            <v>Assemble</v>
          </cell>
          <cell r="E953" t="str">
            <v xml:space="preserve">Body &amp; collar  Matching </v>
          </cell>
          <cell r="F953" t="str">
            <v>H</v>
          </cell>
          <cell r="G953" t="str">
            <v>Plain Table</v>
          </cell>
          <cell r="H953">
            <v>0.35</v>
          </cell>
          <cell r="I953">
            <v>171.42857142857144</v>
          </cell>
        </row>
        <row r="954">
          <cell r="A954">
            <v>950</v>
          </cell>
          <cell r="B954" t="str">
            <v>Mens</v>
          </cell>
          <cell r="C954">
            <v>9</v>
          </cell>
          <cell r="D954" t="str">
            <v>Assemble</v>
          </cell>
          <cell r="E954" t="str">
            <v>Shoulder join by folder</v>
          </cell>
          <cell r="F954" t="str">
            <v>M</v>
          </cell>
          <cell r="G954" t="str">
            <v>1N2TLS-UBT</v>
          </cell>
          <cell r="H954">
            <v>0.8</v>
          </cell>
          <cell r="I954">
            <v>75</v>
          </cell>
        </row>
        <row r="955">
          <cell r="A955">
            <v>951</v>
          </cell>
          <cell r="B955" t="str">
            <v>Mens</v>
          </cell>
          <cell r="C955">
            <v>9</v>
          </cell>
          <cell r="D955" t="str">
            <v>Assemble</v>
          </cell>
          <cell r="E955" t="str">
            <v>Shoulder join</v>
          </cell>
          <cell r="F955" t="str">
            <v>M</v>
          </cell>
          <cell r="G955" t="str">
            <v>2N5TOL</v>
          </cell>
          <cell r="H955">
            <v>0.6</v>
          </cell>
          <cell r="I955">
            <v>100</v>
          </cell>
          <cell r="L955" t="str">
            <v>check</v>
          </cell>
        </row>
        <row r="956">
          <cell r="A956">
            <v>952</v>
          </cell>
          <cell r="B956" t="str">
            <v>Mens</v>
          </cell>
          <cell r="C956">
            <v>9</v>
          </cell>
          <cell r="D956" t="str">
            <v>Assemble</v>
          </cell>
          <cell r="E956" t="str">
            <v xml:space="preserve">Close shoulder </v>
          </cell>
          <cell r="F956" t="str">
            <v>M</v>
          </cell>
          <cell r="G956" t="str">
            <v>1N2TLS-UBT</v>
          </cell>
          <cell r="H956">
            <v>0.6</v>
          </cell>
          <cell r="I956">
            <v>100</v>
          </cell>
        </row>
        <row r="957">
          <cell r="A957">
            <v>953</v>
          </cell>
          <cell r="B957" t="str">
            <v>Mens</v>
          </cell>
          <cell r="C957">
            <v>9</v>
          </cell>
          <cell r="D957" t="str">
            <v>Assemble</v>
          </cell>
          <cell r="E957" t="str">
            <v>Shoulder TS</v>
          </cell>
          <cell r="F957" t="str">
            <v>M</v>
          </cell>
          <cell r="G957" t="str">
            <v>1N2TLS-UBT</v>
          </cell>
          <cell r="H957">
            <v>0.35</v>
          </cell>
          <cell r="I957">
            <v>171.42857142857144</v>
          </cell>
          <cell r="J957" t="str">
            <v>1/4" CR</v>
          </cell>
        </row>
        <row r="958">
          <cell r="A958">
            <v>954</v>
          </cell>
          <cell r="B958" t="str">
            <v>Mens</v>
          </cell>
          <cell r="C958">
            <v>9</v>
          </cell>
          <cell r="D958" t="str">
            <v>Assemble</v>
          </cell>
          <cell r="E958" t="str">
            <v>Collar attach</v>
          </cell>
          <cell r="F958" t="str">
            <v>M</v>
          </cell>
          <cell r="G958" t="str">
            <v>2N4TLSUBT</v>
          </cell>
          <cell r="H958">
            <v>0.6</v>
          </cell>
          <cell r="I958">
            <v>100</v>
          </cell>
          <cell r="J958" t="str">
            <v>1/16" CR</v>
          </cell>
          <cell r="K958" t="str">
            <v>1/4"</v>
          </cell>
        </row>
        <row r="959">
          <cell r="A959">
            <v>955</v>
          </cell>
          <cell r="B959" t="str">
            <v>Mens</v>
          </cell>
          <cell r="C959">
            <v>9</v>
          </cell>
          <cell r="D959" t="str">
            <v>Assemble</v>
          </cell>
          <cell r="E959" t="str">
            <v>Collar attach</v>
          </cell>
          <cell r="F959" t="str">
            <v>M</v>
          </cell>
          <cell r="G959" t="str">
            <v>1N2TLS-UBT</v>
          </cell>
          <cell r="H959">
            <v>0.46</v>
          </cell>
          <cell r="I959">
            <v>130.43478260869566</v>
          </cell>
          <cell r="J959" t="str">
            <v>plain</v>
          </cell>
          <cell r="K959" t="str">
            <v>plain</v>
          </cell>
          <cell r="L959" t="str">
            <v>check</v>
          </cell>
        </row>
        <row r="960">
          <cell r="A960">
            <v>956</v>
          </cell>
          <cell r="B960" t="str">
            <v>Mens</v>
          </cell>
          <cell r="C960">
            <v>9</v>
          </cell>
          <cell r="D960" t="str">
            <v>Assemble</v>
          </cell>
          <cell r="E960" t="str">
            <v xml:space="preserve">Tack label at back yoke centre </v>
          </cell>
          <cell r="F960" t="str">
            <v>M</v>
          </cell>
          <cell r="G960" t="str">
            <v>1N2TLS-UBT</v>
          </cell>
          <cell r="H960">
            <v>0.4</v>
          </cell>
          <cell r="I960">
            <v>150</v>
          </cell>
          <cell r="J960" t="str">
            <v>plain</v>
          </cell>
          <cell r="K960" t="str">
            <v>plain</v>
          </cell>
        </row>
        <row r="961">
          <cell r="A961">
            <v>957</v>
          </cell>
          <cell r="B961" t="str">
            <v>Mens</v>
          </cell>
          <cell r="C961">
            <v>9</v>
          </cell>
          <cell r="D961" t="str">
            <v>Assemble</v>
          </cell>
          <cell r="E961" t="str">
            <v>Tack front placket with collar</v>
          </cell>
          <cell r="F961" t="str">
            <v>M</v>
          </cell>
          <cell r="G961" t="str">
            <v>1N2TLS-UBT</v>
          </cell>
          <cell r="H961">
            <v>0.4</v>
          </cell>
          <cell r="I961">
            <v>150</v>
          </cell>
        </row>
        <row r="962">
          <cell r="A962">
            <v>958</v>
          </cell>
          <cell r="B962" t="str">
            <v>Mens</v>
          </cell>
          <cell r="C962">
            <v>9</v>
          </cell>
          <cell r="D962" t="str">
            <v>Assemble</v>
          </cell>
          <cell r="E962" t="str">
            <v>Collar tape attch to Neck</v>
          </cell>
          <cell r="F962" t="str">
            <v>M</v>
          </cell>
          <cell r="G962" t="str">
            <v>1N2TLS-UBT</v>
          </cell>
          <cell r="H962">
            <v>0.65</v>
          </cell>
          <cell r="I962">
            <v>92.307692307692307</v>
          </cell>
        </row>
        <row r="963">
          <cell r="A963">
            <v>959</v>
          </cell>
          <cell r="B963" t="str">
            <v>Mens</v>
          </cell>
          <cell r="C963">
            <v>9</v>
          </cell>
          <cell r="D963" t="str">
            <v>Assemble</v>
          </cell>
          <cell r="E963" t="str">
            <v xml:space="preserve">Collar close </v>
          </cell>
          <cell r="F963" t="str">
            <v>M</v>
          </cell>
          <cell r="G963" t="str">
            <v>1N2TLS-UBT</v>
          </cell>
          <cell r="H963">
            <v>0.65</v>
          </cell>
          <cell r="I963">
            <v>92.307692307692307</v>
          </cell>
          <cell r="J963" t="str">
            <v>1/16" CL</v>
          </cell>
          <cell r="K963" t="str">
            <v>plain</v>
          </cell>
        </row>
        <row r="964">
          <cell r="A964">
            <v>960</v>
          </cell>
          <cell r="B964" t="str">
            <v>Mens</v>
          </cell>
          <cell r="C964">
            <v>9</v>
          </cell>
          <cell r="D964" t="str">
            <v>Assemble</v>
          </cell>
          <cell r="E964" t="str">
            <v>Collar close with label</v>
          </cell>
          <cell r="F964" t="str">
            <v>M</v>
          </cell>
          <cell r="G964" t="str">
            <v>1N2TLS-UBT</v>
          </cell>
          <cell r="H964">
            <v>0.7</v>
          </cell>
          <cell r="I964">
            <v>85.714285714285722</v>
          </cell>
          <cell r="J964" t="str">
            <v>1/16" CL</v>
          </cell>
          <cell r="K964" t="str">
            <v>plain</v>
          </cell>
          <cell r="L964" t="str">
            <v>check</v>
          </cell>
        </row>
        <row r="965">
          <cell r="A965">
            <v>961</v>
          </cell>
          <cell r="B965" t="str">
            <v>Mens</v>
          </cell>
          <cell r="C965">
            <v>9</v>
          </cell>
          <cell r="D965" t="str">
            <v>Assemble</v>
          </cell>
          <cell r="E965" t="str">
            <v>attach tape at collar</v>
          </cell>
          <cell r="F965" t="str">
            <v>M</v>
          </cell>
          <cell r="G965" t="str">
            <v>1N2TLS-UBT</v>
          </cell>
          <cell r="H965">
            <v>0.7</v>
          </cell>
          <cell r="I965">
            <v>85.714285714285722</v>
          </cell>
        </row>
        <row r="966">
          <cell r="A966">
            <v>962</v>
          </cell>
          <cell r="B966" t="str">
            <v>Mens</v>
          </cell>
          <cell r="C966">
            <v>9</v>
          </cell>
          <cell r="D966" t="str">
            <v>Assemble</v>
          </cell>
          <cell r="E966" t="str">
            <v>Topstitch tape at collar with opening</v>
          </cell>
          <cell r="F966" t="str">
            <v>M</v>
          </cell>
          <cell r="G966" t="str">
            <v>1N2TLS-UBT</v>
          </cell>
          <cell r="H966">
            <v>0.85</v>
          </cell>
          <cell r="I966">
            <v>70.588235294117652</v>
          </cell>
        </row>
        <row r="967">
          <cell r="A967">
            <v>963</v>
          </cell>
          <cell r="B967" t="str">
            <v>Mens</v>
          </cell>
          <cell r="C967">
            <v>9</v>
          </cell>
          <cell r="D967" t="str">
            <v>Assemble</v>
          </cell>
          <cell r="E967" t="str">
            <v>Topstitch front top placket</v>
          </cell>
          <cell r="F967" t="str">
            <v>M</v>
          </cell>
          <cell r="G967" t="str">
            <v>1N2TLS-UBT</v>
          </cell>
          <cell r="H967">
            <v>0.45</v>
          </cell>
          <cell r="I967">
            <v>133.33333333333334</v>
          </cell>
        </row>
        <row r="968">
          <cell r="A968">
            <v>964</v>
          </cell>
          <cell r="B968" t="str">
            <v>Mens</v>
          </cell>
          <cell r="C968">
            <v>9</v>
          </cell>
          <cell r="D968" t="str">
            <v>Assemble</v>
          </cell>
          <cell r="E968" t="str">
            <v>Topstitch front Button  placket</v>
          </cell>
          <cell r="F968" t="str">
            <v>M</v>
          </cell>
          <cell r="G968" t="str">
            <v>1N2TLS-UBT</v>
          </cell>
          <cell r="H968">
            <v>0.45</v>
          </cell>
          <cell r="I968">
            <v>133.33333333333334</v>
          </cell>
        </row>
        <row r="969">
          <cell r="A969">
            <v>965</v>
          </cell>
          <cell r="B969" t="str">
            <v>Mens</v>
          </cell>
          <cell r="C969">
            <v>9</v>
          </cell>
          <cell r="D969" t="str">
            <v>Assemble</v>
          </cell>
          <cell r="E969" t="str">
            <v>Sleeve Match</v>
          </cell>
          <cell r="F969" t="str">
            <v>H</v>
          </cell>
          <cell r="G969" t="str">
            <v>Plain Table</v>
          </cell>
          <cell r="H969">
            <v>0.4</v>
          </cell>
          <cell r="I969">
            <v>150</v>
          </cell>
          <cell r="P969" t="str">
            <v>2N4TCS</v>
          </cell>
        </row>
        <row r="970">
          <cell r="A970">
            <v>966</v>
          </cell>
          <cell r="B970" t="str">
            <v>Mens</v>
          </cell>
          <cell r="C970">
            <v>9</v>
          </cell>
          <cell r="D970" t="str">
            <v>Assemble</v>
          </cell>
          <cell r="E970" t="str">
            <v>Sleeve attach</v>
          </cell>
          <cell r="F970" t="str">
            <v>M</v>
          </cell>
          <cell r="G970" t="str">
            <v>1N2TLS-UBT</v>
          </cell>
          <cell r="H970">
            <v>0.9</v>
          </cell>
          <cell r="I970">
            <v>66.666666666666671</v>
          </cell>
        </row>
        <row r="971">
          <cell r="A971">
            <v>967</v>
          </cell>
          <cell r="B971" t="str">
            <v>Mens</v>
          </cell>
          <cell r="C971">
            <v>9</v>
          </cell>
          <cell r="D971" t="str">
            <v>Assemble</v>
          </cell>
          <cell r="E971" t="str">
            <v>Sleeve attach</v>
          </cell>
          <cell r="F971" t="str">
            <v>M</v>
          </cell>
          <cell r="G971" t="str">
            <v>2N5TOL</v>
          </cell>
          <cell r="H971">
            <v>0.55000000000000004</v>
          </cell>
          <cell r="I971">
            <v>109.09090909090908</v>
          </cell>
        </row>
        <row r="972">
          <cell r="A972">
            <v>968</v>
          </cell>
          <cell r="B972" t="str">
            <v>Mens</v>
          </cell>
          <cell r="C972">
            <v>9</v>
          </cell>
          <cell r="D972" t="str">
            <v>Assemble</v>
          </cell>
          <cell r="E972" t="str">
            <v>Sleeve attach by folder</v>
          </cell>
          <cell r="F972" t="str">
            <v>M</v>
          </cell>
          <cell r="G972" t="str">
            <v>2N4TCS</v>
          </cell>
          <cell r="H972">
            <v>0.86</v>
          </cell>
          <cell r="I972">
            <v>69.767441860465112</v>
          </cell>
        </row>
        <row r="973">
          <cell r="A973">
            <v>969</v>
          </cell>
          <cell r="B973" t="str">
            <v>Mens</v>
          </cell>
          <cell r="C973">
            <v>9</v>
          </cell>
          <cell r="D973" t="str">
            <v>Assemble</v>
          </cell>
          <cell r="E973" t="str">
            <v>Arm hole out line - Folder</v>
          </cell>
          <cell r="F973" t="str">
            <v>M</v>
          </cell>
          <cell r="G973" t="str">
            <v>1N2TCS</v>
          </cell>
          <cell r="H973">
            <v>0.75</v>
          </cell>
          <cell r="I973">
            <v>80</v>
          </cell>
          <cell r="N973" t="str">
            <v>5/16"</v>
          </cell>
        </row>
        <row r="974">
          <cell r="A974">
            <v>970</v>
          </cell>
          <cell r="B974" t="str">
            <v>Mens</v>
          </cell>
          <cell r="C974">
            <v>9</v>
          </cell>
          <cell r="D974" t="str">
            <v>Assemble</v>
          </cell>
          <cell r="E974" t="str">
            <v>Arm hole out line Without folder</v>
          </cell>
          <cell r="F974" t="str">
            <v>M</v>
          </cell>
          <cell r="G974" t="str">
            <v>1N2TLS-UBT</v>
          </cell>
          <cell r="H974">
            <v>0.6</v>
          </cell>
          <cell r="I974">
            <v>100</v>
          </cell>
          <cell r="J974" t="str">
            <v>1/4"</v>
          </cell>
        </row>
        <row r="975">
          <cell r="A975">
            <v>971</v>
          </cell>
          <cell r="B975" t="str">
            <v>Mens</v>
          </cell>
          <cell r="C975">
            <v>9</v>
          </cell>
          <cell r="D975" t="str">
            <v>Assemble</v>
          </cell>
          <cell r="E975" t="str">
            <v>Arm hole out line without folder</v>
          </cell>
          <cell r="F975" t="str">
            <v>M</v>
          </cell>
          <cell r="G975" t="str">
            <v>2N4TCS</v>
          </cell>
          <cell r="H975">
            <v>0.6</v>
          </cell>
          <cell r="I975">
            <v>100</v>
          </cell>
          <cell r="J975" t="str">
            <v>1/16"CR</v>
          </cell>
          <cell r="K975" t="str">
            <v>5mm</v>
          </cell>
        </row>
        <row r="976">
          <cell r="A976">
            <v>972</v>
          </cell>
          <cell r="B976" t="str">
            <v>Mens</v>
          </cell>
          <cell r="C976">
            <v>9</v>
          </cell>
          <cell r="D976" t="str">
            <v>Assemble</v>
          </cell>
          <cell r="E976" t="str">
            <v>Side Seam by FOA</v>
          </cell>
          <cell r="F976" t="str">
            <v>M</v>
          </cell>
          <cell r="G976" t="str">
            <v>2N4TCS-FOA</v>
          </cell>
          <cell r="H976">
            <v>0.6</v>
          </cell>
          <cell r="I976">
            <v>100</v>
          </cell>
          <cell r="L976" t="str">
            <v>check</v>
          </cell>
        </row>
        <row r="977">
          <cell r="A977">
            <v>973</v>
          </cell>
          <cell r="B977" t="str">
            <v>Mens</v>
          </cell>
          <cell r="C977">
            <v>9</v>
          </cell>
          <cell r="D977" t="str">
            <v>Assemble</v>
          </cell>
          <cell r="E977" t="str">
            <v>Attach Side Seam</v>
          </cell>
          <cell r="F977" t="str">
            <v>M</v>
          </cell>
          <cell r="G977" t="str">
            <v>1N2TLS-UBT</v>
          </cell>
          <cell r="H977">
            <v>0.5</v>
          </cell>
          <cell r="I977">
            <v>120</v>
          </cell>
        </row>
        <row r="978">
          <cell r="A978">
            <v>974</v>
          </cell>
          <cell r="B978" t="str">
            <v>Mens</v>
          </cell>
          <cell r="C978">
            <v>9</v>
          </cell>
          <cell r="D978" t="str">
            <v>Assemble</v>
          </cell>
          <cell r="E978" t="str">
            <v>Side Seam by FOA with side vent</v>
          </cell>
          <cell r="F978" t="str">
            <v>M</v>
          </cell>
          <cell r="G978" t="str">
            <v>2N4TCS-FOA</v>
          </cell>
          <cell r="H978">
            <v>1</v>
          </cell>
          <cell r="I978">
            <v>60</v>
          </cell>
          <cell r="J978" t="str">
            <v>1/4"</v>
          </cell>
          <cell r="K978" t="str">
            <v>1/4"</v>
          </cell>
          <cell r="N978" t="str">
            <v>1/4"</v>
          </cell>
        </row>
        <row r="979">
          <cell r="A979">
            <v>975</v>
          </cell>
          <cell r="B979" t="str">
            <v>Mens</v>
          </cell>
          <cell r="C979">
            <v>9</v>
          </cell>
          <cell r="D979" t="str">
            <v>Assemble</v>
          </cell>
          <cell r="E979" t="str">
            <v>close  side seam</v>
          </cell>
          <cell r="F979" t="str">
            <v>M</v>
          </cell>
          <cell r="G979" t="str">
            <v>1N3TOL</v>
          </cell>
          <cell r="H979">
            <v>0.65</v>
          </cell>
          <cell r="I979">
            <v>92.307692307692307</v>
          </cell>
        </row>
        <row r="980">
          <cell r="A980">
            <v>976</v>
          </cell>
          <cell r="B980" t="str">
            <v>Mens</v>
          </cell>
          <cell r="C980">
            <v>9</v>
          </cell>
          <cell r="D980" t="str">
            <v>Assemble</v>
          </cell>
          <cell r="E980" t="str">
            <v>close  side seam</v>
          </cell>
          <cell r="F980" t="str">
            <v>M</v>
          </cell>
          <cell r="G980" t="str">
            <v>1N2TLS-UBT</v>
          </cell>
          <cell r="H980">
            <v>0.9</v>
          </cell>
          <cell r="I980">
            <v>66.666666666666671</v>
          </cell>
          <cell r="J980" t="str">
            <v>plain</v>
          </cell>
          <cell r="K980" t="str">
            <v>plain</v>
          </cell>
        </row>
        <row r="981">
          <cell r="A981">
            <v>977</v>
          </cell>
          <cell r="B981" t="str">
            <v>Mens</v>
          </cell>
          <cell r="C981">
            <v>9</v>
          </cell>
          <cell r="D981" t="str">
            <v>Assemble</v>
          </cell>
          <cell r="E981" t="str">
            <v>Side Seam</v>
          </cell>
          <cell r="F981" t="str">
            <v>M</v>
          </cell>
          <cell r="G981" t="str">
            <v>3N6TCS-FOA</v>
          </cell>
          <cell r="H981">
            <v>0.5</v>
          </cell>
          <cell r="I981">
            <v>120</v>
          </cell>
        </row>
        <row r="982">
          <cell r="A982">
            <v>978</v>
          </cell>
          <cell r="B982" t="str">
            <v>Mens</v>
          </cell>
          <cell r="C982">
            <v>9</v>
          </cell>
          <cell r="D982" t="str">
            <v>Assemble</v>
          </cell>
          <cell r="E982" t="str">
            <v xml:space="preserve">Trim &amp; check arrm hole </v>
          </cell>
          <cell r="F982" t="str">
            <v>H</v>
          </cell>
          <cell r="G982" t="str">
            <v>Plain Table</v>
          </cell>
          <cell r="H982">
            <v>0.35</v>
          </cell>
          <cell r="I982">
            <v>171.42857142857144</v>
          </cell>
        </row>
        <row r="983">
          <cell r="A983">
            <v>979</v>
          </cell>
          <cell r="B983" t="str">
            <v>Mens</v>
          </cell>
          <cell r="C983">
            <v>9</v>
          </cell>
          <cell r="D983" t="str">
            <v>Assemble</v>
          </cell>
          <cell r="E983" t="str">
            <v xml:space="preserve"> Trim &amp; open stitch at side seam </v>
          </cell>
          <cell r="F983" t="str">
            <v>H</v>
          </cell>
          <cell r="G983" t="str">
            <v>Plain Table</v>
          </cell>
          <cell r="H983">
            <v>0.75</v>
          </cell>
          <cell r="I983">
            <v>80</v>
          </cell>
          <cell r="J983" t="str">
            <v>Secssor</v>
          </cell>
        </row>
        <row r="984">
          <cell r="A984">
            <v>980</v>
          </cell>
          <cell r="B984" t="str">
            <v>Mens</v>
          </cell>
          <cell r="C984">
            <v>9</v>
          </cell>
          <cell r="D984" t="str">
            <v>Assemble</v>
          </cell>
          <cell r="E984" t="str">
            <v>Bottom hem by folder</v>
          </cell>
          <cell r="F984" t="str">
            <v>M</v>
          </cell>
          <cell r="G984" t="str">
            <v>1N2TLS-UBT</v>
          </cell>
          <cell r="H984">
            <v>0.6</v>
          </cell>
          <cell r="I984">
            <v>100</v>
          </cell>
          <cell r="J984" t="str">
            <v>1/16" CL</v>
          </cell>
          <cell r="K984" t="str">
            <v>plain</v>
          </cell>
          <cell r="N984" t="str">
            <v>1/4"</v>
          </cell>
        </row>
        <row r="985">
          <cell r="A985">
            <v>981</v>
          </cell>
          <cell r="B985" t="str">
            <v>Mens</v>
          </cell>
          <cell r="C985">
            <v>9</v>
          </cell>
          <cell r="D985" t="str">
            <v>Assemble</v>
          </cell>
          <cell r="E985" t="str">
            <v>Bottom hem  back front separet</v>
          </cell>
          <cell r="F985" t="str">
            <v>M</v>
          </cell>
          <cell r="G985" t="str">
            <v>1N2TLS-UBT</v>
          </cell>
          <cell r="H985">
            <v>0.7</v>
          </cell>
          <cell r="I985">
            <v>85.714285714285722</v>
          </cell>
          <cell r="J985" t="str">
            <v>1/16" CL</v>
          </cell>
          <cell r="K985" t="str">
            <v>plain</v>
          </cell>
          <cell r="L985" t="str">
            <v>check</v>
          </cell>
          <cell r="N985" t="str">
            <v>1/4"</v>
          </cell>
        </row>
        <row r="986">
          <cell r="A986">
            <v>982</v>
          </cell>
          <cell r="B986" t="str">
            <v>Mens</v>
          </cell>
          <cell r="C986">
            <v>9</v>
          </cell>
          <cell r="D986" t="str">
            <v>Assemble</v>
          </cell>
          <cell r="E986" t="str">
            <v>Bottom hem overlock</v>
          </cell>
          <cell r="F986" t="str">
            <v>M</v>
          </cell>
          <cell r="G986" t="str">
            <v>2N4TOL</v>
          </cell>
          <cell r="H986">
            <v>0.35</v>
          </cell>
          <cell r="I986">
            <v>171.42857142857144</v>
          </cell>
        </row>
        <row r="987">
          <cell r="A987">
            <v>983</v>
          </cell>
          <cell r="B987" t="str">
            <v>Mens</v>
          </cell>
          <cell r="C987">
            <v>9</v>
          </cell>
          <cell r="D987" t="str">
            <v>Assemble</v>
          </cell>
          <cell r="E987" t="str">
            <v xml:space="preserve">Tack label at bottom placket </v>
          </cell>
          <cell r="F987" t="str">
            <v>M</v>
          </cell>
          <cell r="G987" t="str">
            <v>1N2TLS-UBT</v>
          </cell>
          <cell r="H987">
            <v>0.43</v>
          </cell>
          <cell r="I987">
            <v>139.53488372093022</v>
          </cell>
        </row>
        <row r="988">
          <cell r="A988">
            <v>984</v>
          </cell>
          <cell r="B988" t="str">
            <v>Mens</v>
          </cell>
          <cell r="C988">
            <v>9</v>
          </cell>
          <cell r="D988" t="str">
            <v>Assemble</v>
          </cell>
          <cell r="E988" t="str">
            <v>Tack @ Btm after overlo</v>
          </cell>
          <cell r="F988" t="str">
            <v>M</v>
          </cell>
          <cell r="G988" t="str">
            <v>1N2TLS-UBT</v>
          </cell>
          <cell r="H988">
            <v>0.35</v>
          </cell>
          <cell r="I988">
            <v>171.42857142857144</v>
          </cell>
        </row>
        <row r="989">
          <cell r="A989">
            <v>985</v>
          </cell>
          <cell r="B989" t="str">
            <v>Mens</v>
          </cell>
          <cell r="C989">
            <v>9</v>
          </cell>
          <cell r="D989" t="str">
            <v>Assemble</v>
          </cell>
          <cell r="E989" t="str">
            <v>Bottom hem separate</v>
          </cell>
          <cell r="F989" t="str">
            <v>M</v>
          </cell>
          <cell r="G989" t="str">
            <v>1N2TLS-UBT</v>
          </cell>
          <cell r="H989">
            <v>0.85</v>
          </cell>
          <cell r="I989">
            <v>70.588235294117652</v>
          </cell>
        </row>
        <row r="990">
          <cell r="A990">
            <v>986</v>
          </cell>
          <cell r="B990" t="str">
            <v>Mens</v>
          </cell>
          <cell r="C990">
            <v>9</v>
          </cell>
          <cell r="D990" t="str">
            <v>Assemble</v>
          </cell>
          <cell r="E990" t="str">
            <v>Ironed Gusset</v>
          </cell>
          <cell r="F990" t="str">
            <v>I</v>
          </cell>
          <cell r="G990" t="str">
            <v>Iron Table</v>
          </cell>
          <cell r="H990">
            <v>0.65</v>
          </cell>
          <cell r="I990">
            <v>92.307692307692307</v>
          </cell>
        </row>
        <row r="991">
          <cell r="A991">
            <v>987</v>
          </cell>
          <cell r="B991" t="str">
            <v>Mens</v>
          </cell>
          <cell r="C991">
            <v>10</v>
          </cell>
          <cell r="D991" t="str">
            <v>Assemble</v>
          </cell>
          <cell r="E991" t="str">
            <v>Make Gusset</v>
          </cell>
          <cell r="F991" t="str">
            <v>M</v>
          </cell>
          <cell r="G991" t="str">
            <v>1N2TLS-UBT</v>
          </cell>
          <cell r="H991">
            <v>0.65</v>
          </cell>
          <cell r="I991">
            <v>92.307692307692307</v>
          </cell>
        </row>
        <row r="992">
          <cell r="A992">
            <v>988</v>
          </cell>
          <cell r="B992" t="str">
            <v>Mens</v>
          </cell>
          <cell r="C992">
            <v>9</v>
          </cell>
          <cell r="D992" t="str">
            <v>Assemble</v>
          </cell>
          <cell r="E992" t="str">
            <v>Attach Gusset</v>
          </cell>
          <cell r="F992" t="str">
            <v>M</v>
          </cell>
          <cell r="G992" t="str">
            <v>1N2TLS-UBT</v>
          </cell>
          <cell r="H992">
            <v>0.7</v>
          </cell>
          <cell r="I992">
            <v>85.714285714285722</v>
          </cell>
        </row>
        <row r="993">
          <cell r="A993">
            <v>989</v>
          </cell>
          <cell r="B993" t="str">
            <v>Mens</v>
          </cell>
          <cell r="C993">
            <v>9</v>
          </cell>
          <cell r="D993" t="str">
            <v>Assemble</v>
          </cell>
          <cell r="E993" t="str">
            <v xml:space="preserve">Cuff Setting </v>
          </cell>
          <cell r="F993" t="str">
            <v>H</v>
          </cell>
          <cell r="G993" t="str">
            <v>Plain Table</v>
          </cell>
          <cell r="H993">
            <v>0.4</v>
          </cell>
          <cell r="I993">
            <v>150</v>
          </cell>
        </row>
        <row r="994">
          <cell r="A994">
            <v>990</v>
          </cell>
          <cell r="B994" t="str">
            <v>Mens</v>
          </cell>
          <cell r="C994">
            <v>9</v>
          </cell>
          <cell r="D994" t="str">
            <v>Assemble</v>
          </cell>
          <cell r="E994" t="str">
            <v xml:space="preserve">Cuff Attach with one Pleat- </v>
          </cell>
          <cell r="F994" t="str">
            <v>M</v>
          </cell>
          <cell r="G994" t="str">
            <v>1N2TLS-UBT</v>
          </cell>
          <cell r="H994">
            <v>0.75</v>
          </cell>
          <cell r="I994">
            <v>80</v>
          </cell>
          <cell r="J994" t="str">
            <v>1/16" CL</v>
          </cell>
          <cell r="K994" t="str">
            <v>plain</v>
          </cell>
          <cell r="N994" t="str">
            <v>Cuff att:</v>
          </cell>
        </row>
        <row r="995">
          <cell r="A995">
            <v>991</v>
          </cell>
          <cell r="B995" t="str">
            <v>Mens</v>
          </cell>
          <cell r="C995">
            <v>9</v>
          </cell>
          <cell r="D995" t="str">
            <v>Assemble</v>
          </cell>
          <cell r="E995" t="str">
            <v xml:space="preserve">Cuff Attach </v>
          </cell>
          <cell r="F995" t="str">
            <v>M</v>
          </cell>
          <cell r="G995" t="str">
            <v>1N2TLS-UBT</v>
          </cell>
          <cell r="H995">
            <v>0.88</v>
          </cell>
          <cell r="I995">
            <v>68.181818181818187</v>
          </cell>
          <cell r="J995" t="str">
            <v>1/16" CL</v>
          </cell>
          <cell r="K995" t="str">
            <v>plain</v>
          </cell>
          <cell r="N995" t="str">
            <v>Cuff att:</v>
          </cell>
        </row>
        <row r="996">
          <cell r="A996">
            <v>992</v>
          </cell>
          <cell r="B996" t="str">
            <v>Mens</v>
          </cell>
          <cell r="C996">
            <v>9</v>
          </cell>
          <cell r="D996" t="str">
            <v>Assemble</v>
          </cell>
          <cell r="E996" t="str">
            <v>Cuff Attach with 2 Pleat</v>
          </cell>
          <cell r="F996" t="str">
            <v>M</v>
          </cell>
          <cell r="G996" t="str">
            <v>1N2TLS-UBT</v>
          </cell>
          <cell r="H996">
            <v>0.85</v>
          </cell>
          <cell r="I996">
            <v>70.588235294117652</v>
          </cell>
          <cell r="J996" t="str">
            <v>1/16" CL</v>
          </cell>
          <cell r="K996" t="str">
            <v>plain</v>
          </cell>
          <cell r="N996" t="str">
            <v>Cuff att:</v>
          </cell>
        </row>
        <row r="997">
          <cell r="A997">
            <v>993</v>
          </cell>
          <cell r="B997" t="str">
            <v>Mens</v>
          </cell>
          <cell r="C997">
            <v>9</v>
          </cell>
          <cell r="D997" t="str">
            <v>Assemble</v>
          </cell>
          <cell r="E997" t="str">
            <v>Sleeve Rolling by folder</v>
          </cell>
          <cell r="F997" t="str">
            <v>M</v>
          </cell>
          <cell r="G997" t="str">
            <v>1N2TLS-UBT</v>
          </cell>
          <cell r="H997">
            <v>0.5</v>
          </cell>
          <cell r="I997">
            <v>120</v>
          </cell>
        </row>
        <row r="998">
          <cell r="A998">
            <v>994</v>
          </cell>
          <cell r="B998" t="str">
            <v>Mens</v>
          </cell>
          <cell r="C998">
            <v>9</v>
          </cell>
          <cell r="D998" t="str">
            <v>Assemble</v>
          </cell>
          <cell r="E998" t="str">
            <v>Sleeve Rolling</v>
          </cell>
          <cell r="F998" t="str">
            <v>M</v>
          </cell>
          <cell r="G998" t="str">
            <v>1N2TLS-UBT</v>
          </cell>
          <cell r="H998">
            <v>0.95</v>
          </cell>
          <cell r="I998">
            <v>63.15789473684211</v>
          </cell>
        </row>
        <row r="999">
          <cell r="A999">
            <v>995</v>
          </cell>
          <cell r="B999" t="str">
            <v>Mens</v>
          </cell>
          <cell r="C999">
            <v>9</v>
          </cell>
          <cell r="D999" t="str">
            <v>Assemble</v>
          </cell>
          <cell r="E999" t="str">
            <v>Mark Button position front with cuff</v>
          </cell>
          <cell r="F999" t="str">
            <v>H</v>
          </cell>
          <cell r="G999" t="str">
            <v>Plain Table</v>
          </cell>
          <cell r="H999">
            <v>0.8</v>
          </cell>
          <cell r="I999">
            <v>75</v>
          </cell>
        </row>
        <row r="1000">
          <cell r="A1000">
            <v>996</v>
          </cell>
          <cell r="B1000" t="str">
            <v>Mens</v>
          </cell>
          <cell r="C1000">
            <v>8</v>
          </cell>
          <cell r="D1000" t="str">
            <v>Assemble</v>
          </cell>
          <cell r="E1000" t="str">
            <v>Make bottonhole band &amp; sleeve</v>
          </cell>
          <cell r="F1000" t="str">
            <v>M</v>
          </cell>
          <cell r="G1000" t="str">
            <v>1N2T-BH</v>
          </cell>
          <cell r="H1000">
            <v>0.4</v>
          </cell>
          <cell r="I1000">
            <v>150</v>
          </cell>
          <cell r="J1000" t="str">
            <v>BH</v>
          </cell>
          <cell r="K1000" t="str">
            <v>BH</v>
          </cell>
          <cell r="N1000">
            <v>108</v>
          </cell>
        </row>
        <row r="1001">
          <cell r="A1001">
            <v>997</v>
          </cell>
          <cell r="B1001" t="str">
            <v>Mens</v>
          </cell>
          <cell r="C1001">
            <v>9</v>
          </cell>
          <cell r="D1001" t="str">
            <v>Assemble</v>
          </cell>
          <cell r="E1001" t="str">
            <v>Btn Attached band ,sleeve &amp; extra  x 5</v>
          </cell>
          <cell r="F1001" t="str">
            <v>M</v>
          </cell>
          <cell r="G1001" t="str">
            <v>1N2TLS-BA</v>
          </cell>
          <cell r="H1001">
            <v>0.5</v>
          </cell>
          <cell r="I1001">
            <v>120</v>
          </cell>
        </row>
        <row r="1002">
          <cell r="A1002">
            <v>998</v>
          </cell>
          <cell r="B1002" t="str">
            <v>Mens</v>
          </cell>
          <cell r="C1002">
            <v>9</v>
          </cell>
          <cell r="D1002" t="str">
            <v>Assemble</v>
          </cell>
          <cell r="E1002" t="str">
            <v>Button Attach @ Collar Band &amp; extra</v>
          </cell>
          <cell r="F1002" t="str">
            <v>M</v>
          </cell>
          <cell r="G1002" t="str">
            <v>1N2TLS-BA</v>
          </cell>
          <cell r="H1002">
            <v>0.3</v>
          </cell>
          <cell r="I1002">
            <v>200</v>
          </cell>
        </row>
        <row r="1003">
          <cell r="A1003">
            <v>999</v>
          </cell>
          <cell r="B1003" t="str">
            <v>Mens</v>
          </cell>
          <cell r="C1003">
            <v>9</v>
          </cell>
          <cell r="D1003" t="str">
            <v>Assemble</v>
          </cell>
          <cell r="E1003" t="str">
            <v>bartack @side vent  x 2</v>
          </cell>
          <cell r="F1003" t="str">
            <v>M</v>
          </cell>
          <cell r="G1003" t="str">
            <v>1N2TBT-PG</v>
          </cell>
          <cell r="H1003">
            <v>0.3</v>
          </cell>
          <cell r="I1003">
            <v>200</v>
          </cell>
        </row>
        <row r="1004">
          <cell r="A1004">
            <v>1000</v>
          </cell>
          <cell r="B1004" t="str">
            <v>Mens</v>
          </cell>
          <cell r="C1004">
            <v>9</v>
          </cell>
          <cell r="D1004" t="str">
            <v>Assemble</v>
          </cell>
          <cell r="E1004" t="str">
            <v>Attach Button Front  (1)</v>
          </cell>
          <cell r="F1004" t="str">
            <v>M</v>
          </cell>
          <cell r="G1004" t="str">
            <v>1N2TLS-BA</v>
          </cell>
          <cell r="H1004">
            <v>0.25</v>
          </cell>
          <cell r="I1004">
            <v>240</v>
          </cell>
        </row>
        <row r="1005">
          <cell r="A1005">
            <v>1001</v>
          </cell>
          <cell r="B1005" t="str">
            <v>Mens</v>
          </cell>
          <cell r="C1005">
            <v>9</v>
          </cell>
          <cell r="D1005" t="str">
            <v>Assemble</v>
          </cell>
          <cell r="E1005" t="str">
            <v>Thread trimming ( With Lable Tack Open )</v>
          </cell>
          <cell r="F1005" t="str">
            <v>H</v>
          </cell>
          <cell r="G1005" t="str">
            <v>Trd Cutting</v>
          </cell>
          <cell r="H1005">
            <v>1.5</v>
          </cell>
          <cell r="I1005">
            <v>40</v>
          </cell>
        </row>
        <row r="1006">
          <cell r="A1006">
            <v>1002</v>
          </cell>
          <cell r="B1006" t="str">
            <v>Mens</v>
          </cell>
          <cell r="C1006">
            <v>9</v>
          </cell>
          <cell r="D1006" t="str">
            <v>Assemble</v>
          </cell>
          <cell r="E1006" t="str">
            <v>Thread trimming</v>
          </cell>
          <cell r="F1006" t="str">
            <v>H</v>
          </cell>
          <cell r="G1006" t="str">
            <v>Trd Cutting</v>
          </cell>
          <cell r="H1006">
            <v>0.8</v>
          </cell>
          <cell r="I1006">
            <v>75</v>
          </cell>
          <cell r="L1006" t="str">
            <v>check</v>
          </cell>
        </row>
        <row r="1007">
          <cell r="A1007">
            <v>1003</v>
          </cell>
          <cell r="B1007" t="str">
            <v>Mens</v>
          </cell>
          <cell r="C1007">
            <v>9</v>
          </cell>
          <cell r="D1007" t="str">
            <v>Assemble</v>
          </cell>
          <cell r="E1007" t="str">
            <v xml:space="preserve">Make bottonhole at collar band </v>
          </cell>
          <cell r="F1007" t="str">
            <v>M</v>
          </cell>
          <cell r="G1007" t="str">
            <v>1N2T-BH</v>
          </cell>
          <cell r="H1007">
            <v>0.2</v>
          </cell>
          <cell r="I1007">
            <v>300</v>
          </cell>
        </row>
        <row r="1008">
          <cell r="A1008">
            <v>1004</v>
          </cell>
          <cell r="B1008" t="str">
            <v>Mens</v>
          </cell>
          <cell r="C1008">
            <v>9</v>
          </cell>
          <cell r="D1008" t="str">
            <v>Assemble</v>
          </cell>
          <cell r="E1008" t="str">
            <v>Button Colssing</v>
          </cell>
          <cell r="F1008" t="str">
            <v>H</v>
          </cell>
          <cell r="G1008" t="str">
            <v>Trd Cutting</v>
          </cell>
          <cell r="H1008">
            <v>0.4</v>
          </cell>
          <cell r="I1008">
            <v>150</v>
          </cell>
        </row>
        <row r="1009">
          <cell r="A1009">
            <v>1005</v>
          </cell>
          <cell r="B1009" t="str">
            <v>Mens</v>
          </cell>
          <cell r="C1009">
            <v>9</v>
          </cell>
          <cell r="D1009" t="str">
            <v>Assemble</v>
          </cell>
          <cell r="E1009" t="str">
            <v>Thread trimming with side vent</v>
          </cell>
          <cell r="F1009" t="str">
            <v>H</v>
          </cell>
          <cell r="G1009" t="str">
            <v>Trd Cutting</v>
          </cell>
          <cell r="H1009">
            <v>1.2</v>
          </cell>
          <cell r="I1009">
            <v>50</v>
          </cell>
        </row>
        <row r="1010">
          <cell r="A1010">
            <v>1006</v>
          </cell>
          <cell r="B1010" t="str">
            <v>Mens</v>
          </cell>
          <cell r="C1010">
            <v>9</v>
          </cell>
          <cell r="D1010" t="str">
            <v>Assemble</v>
          </cell>
          <cell r="E1010" t="str">
            <v>Trim &amp; Check arm hole</v>
          </cell>
          <cell r="F1010" t="str">
            <v>H</v>
          </cell>
          <cell r="G1010" t="str">
            <v>Plain Table</v>
          </cell>
          <cell r="H1010">
            <v>0.35</v>
          </cell>
          <cell r="I1010">
            <v>171.42857142857144</v>
          </cell>
          <cell r="J1010" t="str">
            <v>Secssor</v>
          </cell>
        </row>
        <row r="1011">
          <cell r="A1011">
            <v>1007</v>
          </cell>
          <cell r="B1011" t="str">
            <v>Mens</v>
          </cell>
          <cell r="C1011">
            <v>9</v>
          </cell>
          <cell r="D1011" t="str">
            <v>Assemble</v>
          </cell>
          <cell r="E1011" t="str">
            <v>Press Gusset to attach front placket</v>
          </cell>
          <cell r="F1011" t="str">
            <v>I</v>
          </cell>
          <cell r="G1011" t="str">
            <v>Iron Table</v>
          </cell>
          <cell r="H1011">
            <v>0.45</v>
          </cell>
          <cell r="I1011">
            <v>133.33333333333334</v>
          </cell>
        </row>
        <row r="1012">
          <cell r="A1012">
            <v>1008</v>
          </cell>
          <cell r="B1012" t="str">
            <v>Mens</v>
          </cell>
          <cell r="C1012">
            <v>9</v>
          </cell>
          <cell r="D1012" t="str">
            <v>Assemble</v>
          </cell>
          <cell r="E1012" t="str">
            <v>Atach label at side seam</v>
          </cell>
          <cell r="F1012" t="str">
            <v>M</v>
          </cell>
          <cell r="G1012" t="str">
            <v>1N2TLS-UBT</v>
          </cell>
          <cell r="H1012">
            <v>0.45</v>
          </cell>
          <cell r="I1012">
            <v>133.33333333333334</v>
          </cell>
        </row>
        <row r="1013">
          <cell r="A1013">
            <v>1009</v>
          </cell>
          <cell r="B1013" t="str">
            <v>Mens</v>
          </cell>
          <cell r="C1013">
            <v>9</v>
          </cell>
          <cell r="D1013" t="str">
            <v>Assemble</v>
          </cell>
          <cell r="E1013" t="str">
            <v>Trim bottom hem</v>
          </cell>
          <cell r="F1013" t="str">
            <v>H</v>
          </cell>
          <cell r="G1013" t="str">
            <v>Plain Table</v>
          </cell>
          <cell r="H1013">
            <v>0.35</v>
          </cell>
          <cell r="I1013">
            <v>171.42857142857144</v>
          </cell>
          <cell r="J1013" t="str">
            <v>Secssor</v>
          </cell>
        </row>
        <row r="1014">
          <cell r="A1014">
            <v>1010</v>
          </cell>
          <cell r="B1014" t="str">
            <v>Mens</v>
          </cell>
          <cell r="C1014">
            <v>9</v>
          </cell>
          <cell r="D1014" t="str">
            <v>Assemble</v>
          </cell>
          <cell r="E1014" t="str">
            <v xml:space="preserve">Attach collar tape </v>
          </cell>
          <cell r="F1014" t="str">
            <v>M</v>
          </cell>
          <cell r="G1014" t="str">
            <v>1N2TLS-UBT</v>
          </cell>
          <cell r="H1014">
            <v>1</v>
          </cell>
          <cell r="I1014">
            <v>60</v>
          </cell>
        </row>
        <row r="1015">
          <cell r="A1015">
            <v>1011</v>
          </cell>
          <cell r="B1015" t="str">
            <v>Mens</v>
          </cell>
          <cell r="C1015">
            <v>9</v>
          </cell>
          <cell r="D1015" t="str">
            <v>Assemble</v>
          </cell>
          <cell r="E1015" t="str">
            <v>Mouth close collar tape</v>
          </cell>
          <cell r="F1015" t="str">
            <v>M</v>
          </cell>
          <cell r="G1015" t="str">
            <v>1N2TLS-UBT</v>
          </cell>
          <cell r="H1015">
            <v>0.45</v>
          </cell>
          <cell r="I1015">
            <v>133.33333333333334</v>
          </cell>
        </row>
        <row r="1016">
          <cell r="A1016">
            <v>1012</v>
          </cell>
          <cell r="B1016" t="str">
            <v>Mens</v>
          </cell>
          <cell r="C1016">
            <v>9</v>
          </cell>
          <cell r="D1016" t="str">
            <v>Assemble</v>
          </cell>
          <cell r="E1016" t="str">
            <v>Make Side Vent</v>
          </cell>
          <cell r="F1016" t="str">
            <v>M</v>
          </cell>
          <cell r="G1016" t="str">
            <v>1N2TLS-UBT</v>
          </cell>
          <cell r="H1016">
            <v>0.85</v>
          </cell>
          <cell r="I1016">
            <v>70.588235294117652</v>
          </cell>
        </row>
        <row r="1017">
          <cell r="A1017">
            <v>1013</v>
          </cell>
          <cell r="B1017" t="str">
            <v>Mens</v>
          </cell>
          <cell r="C1017">
            <v>9</v>
          </cell>
          <cell r="D1017" t="str">
            <v>Assemble</v>
          </cell>
          <cell r="E1017" t="str">
            <v>Mark Body for make deco at side seam</v>
          </cell>
          <cell r="F1017" t="str">
            <v>H</v>
          </cell>
          <cell r="G1017" t="str">
            <v>Plain Table</v>
          </cell>
          <cell r="H1017">
            <v>0.4</v>
          </cell>
          <cell r="I1017">
            <v>150</v>
          </cell>
        </row>
        <row r="1018">
          <cell r="A1018">
            <v>1014</v>
          </cell>
          <cell r="B1018" t="str">
            <v>Mens</v>
          </cell>
          <cell r="C1018">
            <v>9</v>
          </cell>
          <cell r="D1018" t="str">
            <v>Assemble</v>
          </cell>
          <cell r="E1018" t="str">
            <v>Tack , fold &amp; topstitch side vent</v>
          </cell>
          <cell r="F1018" t="str">
            <v>M</v>
          </cell>
          <cell r="G1018" t="str">
            <v>1N2TLS-UBT</v>
          </cell>
          <cell r="H1018">
            <v>0.85</v>
          </cell>
          <cell r="I1018">
            <v>70.588235294117652</v>
          </cell>
          <cell r="J1018" t="str">
            <v>plain</v>
          </cell>
          <cell r="K1018" t="str">
            <v>plain</v>
          </cell>
        </row>
        <row r="1019">
          <cell r="A1019">
            <v>1015</v>
          </cell>
          <cell r="B1019" t="str">
            <v>Mens</v>
          </cell>
          <cell r="C1019">
            <v>9</v>
          </cell>
          <cell r="D1019" t="str">
            <v>Assemble</v>
          </cell>
          <cell r="E1019" t="str">
            <v>Fold &amp; Attach  loop x 4</v>
          </cell>
          <cell r="F1019" t="str">
            <v>M</v>
          </cell>
          <cell r="G1019" t="str">
            <v>1N2TLS-UBT</v>
          </cell>
          <cell r="H1019">
            <v>0.5</v>
          </cell>
          <cell r="I1019">
            <v>120</v>
          </cell>
        </row>
        <row r="1020">
          <cell r="A1020">
            <v>1016</v>
          </cell>
          <cell r="B1020" t="str">
            <v>Mens</v>
          </cell>
          <cell r="C1020">
            <v>9</v>
          </cell>
          <cell r="D1020" t="str">
            <v>Assemble</v>
          </cell>
          <cell r="E1020" t="str">
            <v>Top stitch Cuff 1/16"-</v>
          </cell>
          <cell r="F1020" t="str">
            <v>M</v>
          </cell>
          <cell r="G1020" t="str">
            <v>1N2TLS-UBT</v>
          </cell>
          <cell r="H1020">
            <v>0.65</v>
          </cell>
          <cell r="I1020">
            <v>92.307692307692307</v>
          </cell>
          <cell r="J1020" t="str">
            <v>1/16" CR</v>
          </cell>
        </row>
        <row r="1021">
          <cell r="A1021">
            <v>1017</v>
          </cell>
          <cell r="B1021" t="str">
            <v>Mens</v>
          </cell>
          <cell r="C1021">
            <v>9</v>
          </cell>
          <cell r="D1021" t="str">
            <v>Assemble</v>
          </cell>
          <cell r="E1021" t="str">
            <v>Tack sleeve opening</v>
          </cell>
          <cell r="F1021" t="str">
            <v>M</v>
          </cell>
          <cell r="G1021" t="str">
            <v>1N2TLS-UBT</v>
          </cell>
          <cell r="H1021">
            <v>0.45</v>
          </cell>
          <cell r="I1021">
            <v>133.33333333333334</v>
          </cell>
        </row>
        <row r="1022">
          <cell r="A1022">
            <v>1018</v>
          </cell>
          <cell r="B1022" t="str">
            <v>Mens</v>
          </cell>
          <cell r="C1022">
            <v>9</v>
          </cell>
          <cell r="D1022" t="str">
            <v>Assemble</v>
          </cell>
          <cell r="E1022" t="str">
            <v xml:space="preserve">Trim Bottom hem </v>
          </cell>
          <cell r="F1022" t="str">
            <v>H</v>
          </cell>
          <cell r="G1022" t="str">
            <v>Plain Table</v>
          </cell>
          <cell r="H1022">
            <v>0.4</v>
          </cell>
          <cell r="I1022">
            <v>150</v>
          </cell>
          <cell r="J1022" t="str">
            <v>Secssor</v>
          </cell>
        </row>
        <row r="1023">
          <cell r="A1023">
            <v>1019</v>
          </cell>
          <cell r="B1023" t="str">
            <v>Mens</v>
          </cell>
          <cell r="C1023">
            <v>9</v>
          </cell>
          <cell r="D1023" t="str">
            <v>Assemble</v>
          </cell>
          <cell r="E1023" t="str">
            <v xml:space="preserve">Attach hem pannel </v>
          </cell>
          <cell r="F1023" t="str">
            <v>M</v>
          </cell>
          <cell r="G1023" t="str">
            <v>2N5TOL</v>
          </cell>
          <cell r="H1023">
            <v>0.35</v>
          </cell>
          <cell r="I1023">
            <v>171.42857142857144</v>
          </cell>
        </row>
        <row r="1024">
          <cell r="A1024">
            <v>1020</v>
          </cell>
          <cell r="B1024" t="str">
            <v>Mens</v>
          </cell>
          <cell r="C1024">
            <v>9</v>
          </cell>
          <cell r="D1024" t="str">
            <v>Assemble</v>
          </cell>
          <cell r="E1024" t="str">
            <v>Make hem  pannel</v>
          </cell>
          <cell r="F1024" t="str">
            <v>M</v>
          </cell>
          <cell r="G1024" t="str">
            <v>2N5TOL</v>
          </cell>
          <cell r="H1024">
            <v>0.25</v>
          </cell>
          <cell r="I1024">
            <v>240</v>
          </cell>
        </row>
        <row r="1025">
          <cell r="A1025">
            <v>1021</v>
          </cell>
          <cell r="B1025" t="str">
            <v>Mens</v>
          </cell>
          <cell r="C1025">
            <v>9</v>
          </cell>
          <cell r="D1025" t="str">
            <v>Assemble</v>
          </cell>
          <cell r="E1025" t="str">
            <v>Overlock bottom pannel</v>
          </cell>
          <cell r="F1025" t="str">
            <v>M</v>
          </cell>
          <cell r="G1025" t="str">
            <v>1N3TOL</v>
          </cell>
          <cell r="H1025">
            <v>0.35</v>
          </cell>
          <cell r="I1025">
            <v>171.42857142857144</v>
          </cell>
        </row>
        <row r="1026">
          <cell r="A1026">
            <v>1022</v>
          </cell>
          <cell r="B1026" t="str">
            <v>Mens</v>
          </cell>
          <cell r="C1026">
            <v>9</v>
          </cell>
          <cell r="D1026" t="str">
            <v>Assemble</v>
          </cell>
          <cell r="E1026" t="str">
            <v xml:space="preserve">Tack front placket bottom with round edge </v>
          </cell>
          <cell r="F1026" t="str">
            <v>M</v>
          </cell>
          <cell r="G1026" t="str">
            <v>1N2TLS-UBT</v>
          </cell>
          <cell r="H1026">
            <v>0.5</v>
          </cell>
          <cell r="I1026">
            <v>120</v>
          </cell>
        </row>
        <row r="1027">
          <cell r="A1027">
            <v>1023</v>
          </cell>
          <cell r="B1027" t="str">
            <v>Mens</v>
          </cell>
          <cell r="C1027">
            <v>9</v>
          </cell>
          <cell r="D1027" t="str">
            <v>Assemble</v>
          </cell>
          <cell r="E1027" t="str">
            <v>Topstitch side seam with tack</v>
          </cell>
          <cell r="F1027" t="str">
            <v>M</v>
          </cell>
          <cell r="G1027" t="str">
            <v>1N2TLS-UBT</v>
          </cell>
          <cell r="H1027">
            <v>1.5</v>
          </cell>
          <cell r="I1027">
            <v>40</v>
          </cell>
        </row>
        <row r="1028">
          <cell r="A1028">
            <v>1024</v>
          </cell>
          <cell r="B1028" t="str">
            <v>Mens</v>
          </cell>
          <cell r="C1028">
            <v>9</v>
          </cell>
          <cell r="D1028" t="str">
            <v>Assemble</v>
          </cell>
          <cell r="E1028" t="str">
            <v xml:space="preserve">Attach shoulder epualet </v>
          </cell>
          <cell r="F1028" t="str">
            <v>M</v>
          </cell>
          <cell r="G1028" t="str">
            <v>1N2TLS-UBT</v>
          </cell>
          <cell r="H1028">
            <v>0.7</v>
          </cell>
          <cell r="I1028">
            <v>85.714285714285722</v>
          </cell>
        </row>
        <row r="1029">
          <cell r="A1029">
            <v>1025</v>
          </cell>
          <cell r="B1029" t="str">
            <v>Mens</v>
          </cell>
          <cell r="C1029">
            <v>9</v>
          </cell>
          <cell r="D1029" t="str">
            <v>Assemble</v>
          </cell>
          <cell r="E1029" t="str">
            <v>Make waist  tape</v>
          </cell>
          <cell r="F1029" t="str">
            <v>M</v>
          </cell>
          <cell r="G1029" t="str">
            <v>2N4TLSUBT</v>
          </cell>
          <cell r="H1029">
            <v>0.5</v>
          </cell>
          <cell r="I1029">
            <v>120</v>
          </cell>
        </row>
        <row r="1030">
          <cell r="A1030">
            <v>1026</v>
          </cell>
          <cell r="B1030" t="str">
            <v>Mens</v>
          </cell>
          <cell r="C1030">
            <v>9</v>
          </cell>
          <cell r="D1030" t="str">
            <v>Assemble</v>
          </cell>
          <cell r="E1030" t="str">
            <v>Close waist belt  tape mouth</v>
          </cell>
          <cell r="F1030" t="str">
            <v>M</v>
          </cell>
          <cell r="G1030" t="str">
            <v>1N2TLS-UBT</v>
          </cell>
          <cell r="H1030">
            <v>0.8</v>
          </cell>
          <cell r="I1030">
            <v>75</v>
          </cell>
        </row>
        <row r="1031">
          <cell r="A1031">
            <v>1027</v>
          </cell>
          <cell r="B1031" t="str">
            <v>Mens</v>
          </cell>
          <cell r="C1031">
            <v>9</v>
          </cell>
          <cell r="D1031" t="str">
            <v>Assemble</v>
          </cell>
          <cell r="E1031" t="str">
            <v xml:space="preserve">Make loop </v>
          </cell>
          <cell r="F1031" t="str">
            <v>M</v>
          </cell>
          <cell r="G1031" t="str">
            <v>1N2TLS-UBT</v>
          </cell>
          <cell r="H1031">
            <v>0.45</v>
          </cell>
          <cell r="I1031">
            <v>133.33333333333334</v>
          </cell>
        </row>
        <row r="1032">
          <cell r="A1032">
            <v>1028</v>
          </cell>
          <cell r="B1032" t="str">
            <v>Mens</v>
          </cell>
          <cell r="C1032">
            <v>9</v>
          </cell>
          <cell r="D1032" t="str">
            <v>Assemble</v>
          </cell>
          <cell r="E1032" t="str">
            <v>Attach  waist  tape to side</v>
          </cell>
          <cell r="F1032" t="str">
            <v>M</v>
          </cell>
          <cell r="G1032" t="str">
            <v>1N2TLS-UBT</v>
          </cell>
          <cell r="H1032">
            <v>0.4</v>
          </cell>
          <cell r="I1032">
            <v>150</v>
          </cell>
        </row>
        <row r="1033">
          <cell r="A1033">
            <v>1029</v>
          </cell>
          <cell r="B1033" t="str">
            <v>Mens</v>
          </cell>
          <cell r="C1033">
            <v>9</v>
          </cell>
          <cell r="D1033" t="str">
            <v>Assemble</v>
          </cell>
          <cell r="E1033" t="str">
            <v>Close sleeve</v>
          </cell>
          <cell r="F1033" t="str">
            <v>M</v>
          </cell>
          <cell r="G1033" t="str">
            <v>2N5TOL</v>
          </cell>
          <cell r="H1033">
            <v>0.35</v>
          </cell>
          <cell r="I1033">
            <v>171.42857142857144</v>
          </cell>
        </row>
        <row r="1034">
          <cell r="A1034">
            <v>1030</v>
          </cell>
          <cell r="B1034" t="str">
            <v>Mens</v>
          </cell>
          <cell r="C1034">
            <v>9</v>
          </cell>
          <cell r="D1034" t="str">
            <v>Assemble</v>
          </cell>
          <cell r="E1034" t="str">
            <v>Topstitch sleeve</v>
          </cell>
          <cell r="F1034" t="str">
            <v>M</v>
          </cell>
          <cell r="G1034" t="str">
            <v>2N4TLSUBT</v>
          </cell>
          <cell r="H1034">
            <v>0.4</v>
          </cell>
          <cell r="I1034">
            <v>150</v>
          </cell>
        </row>
        <row r="1035">
          <cell r="A1035">
            <v>1031</v>
          </cell>
          <cell r="B1035" t="str">
            <v>Mens</v>
          </cell>
          <cell r="C1035">
            <v>9</v>
          </cell>
          <cell r="D1035" t="str">
            <v>Assemble</v>
          </cell>
          <cell r="E1035" t="str">
            <v>Mark body for deco stitch</v>
          </cell>
          <cell r="F1035" t="str">
            <v>H</v>
          </cell>
          <cell r="G1035" t="str">
            <v>Plain Table</v>
          </cell>
          <cell r="H1035">
            <v>0.42</v>
          </cell>
          <cell r="I1035">
            <v>142.85714285714286</v>
          </cell>
        </row>
        <row r="1036">
          <cell r="A1036">
            <v>1032</v>
          </cell>
          <cell r="B1036" t="str">
            <v>Mens</v>
          </cell>
          <cell r="C1036">
            <v>9</v>
          </cell>
          <cell r="D1036" t="str">
            <v>Assemble</v>
          </cell>
          <cell r="E1036" t="str">
            <v>Make deco stitch front &amp; back</v>
          </cell>
          <cell r="F1036" t="str">
            <v>M</v>
          </cell>
          <cell r="G1036" t="str">
            <v>3N6TCS</v>
          </cell>
          <cell r="H1036">
            <v>0.4</v>
          </cell>
          <cell r="I1036">
            <v>150</v>
          </cell>
        </row>
        <row r="1037">
          <cell r="A1037">
            <v>1033</v>
          </cell>
          <cell r="B1037" t="str">
            <v>Mens</v>
          </cell>
          <cell r="C1037">
            <v>9</v>
          </cell>
          <cell r="D1037" t="str">
            <v>Assemble</v>
          </cell>
          <cell r="E1037" t="str">
            <v xml:space="preserve">Top stitch arm hole </v>
          </cell>
          <cell r="F1037" t="str">
            <v>M</v>
          </cell>
          <cell r="G1037" t="str">
            <v>3N6TCS</v>
          </cell>
          <cell r="H1037">
            <v>0.5</v>
          </cell>
          <cell r="I1037">
            <v>120</v>
          </cell>
        </row>
        <row r="1038">
          <cell r="A1038">
            <v>1034</v>
          </cell>
          <cell r="B1038" t="str">
            <v>Mens</v>
          </cell>
          <cell r="C1038">
            <v>9</v>
          </cell>
          <cell r="D1038" t="str">
            <v>Assemble</v>
          </cell>
          <cell r="E1038" t="str">
            <v>Tack armhole opening</v>
          </cell>
          <cell r="F1038" t="str">
            <v>M</v>
          </cell>
          <cell r="G1038" t="str">
            <v>1N2TLS-UBT</v>
          </cell>
          <cell r="H1038">
            <v>0.5</v>
          </cell>
          <cell r="I1038">
            <v>120</v>
          </cell>
          <cell r="L1038" t="str">
            <v>check</v>
          </cell>
        </row>
        <row r="1039">
          <cell r="A1039">
            <v>1035</v>
          </cell>
          <cell r="B1039" t="str">
            <v>Mens</v>
          </cell>
          <cell r="C1039">
            <v>9</v>
          </cell>
          <cell r="D1039" t="str">
            <v>Assemble</v>
          </cell>
          <cell r="E1039" t="str">
            <v>Mark body to armhole topstitch</v>
          </cell>
          <cell r="F1039" t="str">
            <v>H</v>
          </cell>
          <cell r="G1039" t="str">
            <v>Plain Table</v>
          </cell>
          <cell r="H1039">
            <v>0.4</v>
          </cell>
          <cell r="I1039">
            <v>150</v>
          </cell>
        </row>
        <row r="1040">
          <cell r="A1040">
            <v>1036</v>
          </cell>
          <cell r="B1040" t="str">
            <v>Mens</v>
          </cell>
          <cell r="C1040">
            <v>9</v>
          </cell>
          <cell r="D1040" t="str">
            <v>Assemble</v>
          </cell>
          <cell r="E1040" t="str">
            <v>Match top &amp; bottom part</v>
          </cell>
          <cell r="F1040" t="str">
            <v>H</v>
          </cell>
          <cell r="G1040" t="str">
            <v>Plain Table</v>
          </cell>
          <cell r="H1040">
            <v>0.4</v>
          </cell>
          <cell r="I1040">
            <v>150</v>
          </cell>
        </row>
        <row r="1041">
          <cell r="A1041">
            <v>1037</v>
          </cell>
          <cell r="B1041" t="str">
            <v>Mens</v>
          </cell>
          <cell r="C1041">
            <v>9</v>
          </cell>
          <cell r="D1041" t="str">
            <v>Assemble</v>
          </cell>
          <cell r="E1041" t="str">
            <v>Attach top &amp; bottom part</v>
          </cell>
          <cell r="F1041" t="str">
            <v>M</v>
          </cell>
          <cell r="G1041" t="str">
            <v>1N3TOL</v>
          </cell>
          <cell r="H1041">
            <v>0.35</v>
          </cell>
          <cell r="I1041">
            <v>171.42857142857144</v>
          </cell>
        </row>
        <row r="1042">
          <cell r="A1042">
            <v>1038</v>
          </cell>
          <cell r="B1042" t="str">
            <v>Mens</v>
          </cell>
          <cell r="C1042">
            <v>9</v>
          </cell>
          <cell r="D1042" t="str">
            <v>Assemble</v>
          </cell>
          <cell r="E1042" t="str">
            <v>Close top &amp; bottom</v>
          </cell>
          <cell r="F1042" t="str">
            <v>M</v>
          </cell>
          <cell r="G1042" t="str">
            <v>1N2TLS-UBT</v>
          </cell>
          <cell r="H1042">
            <v>0.5</v>
          </cell>
          <cell r="I1042">
            <v>120</v>
          </cell>
        </row>
        <row r="1043">
          <cell r="A1043">
            <v>1039</v>
          </cell>
          <cell r="B1043" t="str">
            <v>Mens</v>
          </cell>
          <cell r="C1043">
            <v>9</v>
          </cell>
          <cell r="D1043" t="str">
            <v>Assemble</v>
          </cell>
          <cell r="E1043" t="str">
            <v xml:space="preserve">Attach shoulder </v>
          </cell>
          <cell r="F1043" t="str">
            <v>M</v>
          </cell>
          <cell r="G1043" t="str">
            <v>1N3TOL</v>
          </cell>
          <cell r="H1043">
            <v>0.38</v>
          </cell>
          <cell r="I1043">
            <v>157.89473684210526</v>
          </cell>
        </row>
        <row r="1044">
          <cell r="A1044">
            <v>1040</v>
          </cell>
          <cell r="B1044" t="str">
            <v>Mens</v>
          </cell>
          <cell r="C1044">
            <v>9</v>
          </cell>
          <cell r="D1044" t="str">
            <v>Assemble</v>
          </cell>
          <cell r="E1044" t="str">
            <v>Close back shuolder pannel</v>
          </cell>
          <cell r="F1044" t="str">
            <v>M</v>
          </cell>
          <cell r="G1044" t="str">
            <v>1N2TLS-UBT</v>
          </cell>
          <cell r="H1044">
            <v>0.4</v>
          </cell>
          <cell r="I1044">
            <v>150</v>
          </cell>
        </row>
        <row r="1045">
          <cell r="A1045">
            <v>1041</v>
          </cell>
          <cell r="B1045" t="str">
            <v>Mens</v>
          </cell>
          <cell r="C1045">
            <v>9</v>
          </cell>
          <cell r="D1045" t="str">
            <v>Assemble</v>
          </cell>
          <cell r="E1045" t="str">
            <v>Tack armhole tape end</v>
          </cell>
          <cell r="F1045" t="str">
            <v>M</v>
          </cell>
          <cell r="G1045" t="str">
            <v>1N2TLS-UBT</v>
          </cell>
          <cell r="H1045">
            <v>0.65</v>
          </cell>
          <cell r="I1045">
            <v>92.307692307692307</v>
          </cell>
        </row>
        <row r="1046">
          <cell r="A1046">
            <v>1042</v>
          </cell>
          <cell r="B1046" t="str">
            <v>Mens</v>
          </cell>
          <cell r="C1046">
            <v>9</v>
          </cell>
          <cell r="D1046" t="str">
            <v>Assemble</v>
          </cell>
          <cell r="E1046" t="str">
            <v>Top stitch shoulder epualet with deco</v>
          </cell>
          <cell r="F1046" t="str">
            <v>M</v>
          </cell>
          <cell r="G1046" t="str">
            <v>1N2TLS-UBT</v>
          </cell>
          <cell r="H1046">
            <v>1.2</v>
          </cell>
          <cell r="I1046">
            <v>50</v>
          </cell>
        </row>
        <row r="1047">
          <cell r="A1047">
            <v>1043</v>
          </cell>
          <cell r="B1047" t="str">
            <v>Mens</v>
          </cell>
          <cell r="C1047">
            <v>9</v>
          </cell>
          <cell r="D1047" t="str">
            <v>Assemble</v>
          </cell>
          <cell r="E1047" t="str">
            <v xml:space="preserve">Attach neck  loop </v>
          </cell>
          <cell r="F1047" t="str">
            <v>M</v>
          </cell>
          <cell r="G1047" t="str">
            <v>1N2TLS-UBT</v>
          </cell>
          <cell r="H1047">
            <v>0.4</v>
          </cell>
          <cell r="I1047">
            <v>150</v>
          </cell>
        </row>
        <row r="1048">
          <cell r="A1048">
            <v>1044</v>
          </cell>
          <cell r="B1048" t="str">
            <v>Mens</v>
          </cell>
          <cell r="C1048">
            <v>9</v>
          </cell>
          <cell r="D1048" t="str">
            <v>Assemble</v>
          </cell>
          <cell r="E1048" t="str">
            <v>Attach shoulder tab</v>
          </cell>
          <cell r="F1048" t="str">
            <v>M</v>
          </cell>
          <cell r="G1048" t="str">
            <v>1N2TLS-UBT</v>
          </cell>
          <cell r="H1048">
            <v>0.35</v>
          </cell>
          <cell r="I1048">
            <v>171.42857142857144</v>
          </cell>
        </row>
        <row r="1049">
          <cell r="A1049">
            <v>1045</v>
          </cell>
          <cell r="B1049" t="str">
            <v>Mens</v>
          </cell>
          <cell r="C1049">
            <v>9</v>
          </cell>
          <cell r="D1049" t="str">
            <v>Assemble</v>
          </cell>
          <cell r="E1049" t="str">
            <v>Measure &amp; mark side seam</v>
          </cell>
          <cell r="F1049" t="str">
            <v>H</v>
          </cell>
          <cell r="G1049" t="str">
            <v>Plain Table</v>
          </cell>
          <cell r="H1049">
            <v>0.4</v>
          </cell>
          <cell r="I1049">
            <v>150</v>
          </cell>
        </row>
        <row r="1050">
          <cell r="A1050">
            <v>1046</v>
          </cell>
          <cell r="B1050" t="str">
            <v>Mens</v>
          </cell>
          <cell r="C1050">
            <v>9</v>
          </cell>
          <cell r="D1050" t="str">
            <v>Assemble</v>
          </cell>
          <cell r="E1050" t="str">
            <v>Over lock bottom hem</v>
          </cell>
          <cell r="F1050" t="str">
            <v>M</v>
          </cell>
          <cell r="G1050" t="str">
            <v>1N3TOL</v>
          </cell>
          <cell r="H1050">
            <v>0.35</v>
          </cell>
          <cell r="I1050">
            <v>171.42857142857144</v>
          </cell>
        </row>
        <row r="1051">
          <cell r="A1051">
            <v>1047</v>
          </cell>
          <cell r="B1051" t="str">
            <v>Mens</v>
          </cell>
          <cell r="C1051">
            <v>9</v>
          </cell>
          <cell r="D1051" t="str">
            <v>Assemble</v>
          </cell>
          <cell r="E1051" t="str">
            <v xml:space="preserve">Overlock armhole </v>
          </cell>
          <cell r="F1051" t="str">
            <v>M</v>
          </cell>
          <cell r="G1051" t="str">
            <v>1N3TOL</v>
          </cell>
          <cell r="H1051">
            <v>0.35</v>
          </cell>
          <cell r="I1051">
            <v>171.42857142857144</v>
          </cell>
        </row>
        <row r="1052">
          <cell r="A1052">
            <v>1048</v>
          </cell>
          <cell r="B1052" t="str">
            <v>Mens</v>
          </cell>
          <cell r="C1052">
            <v>9</v>
          </cell>
          <cell r="D1052" t="str">
            <v>Assemble</v>
          </cell>
          <cell r="E1052" t="str">
            <v>Attach tape at armhole</v>
          </cell>
          <cell r="F1052" t="str">
            <v>M</v>
          </cell>
          <cell r="G1052" t="str">
            <v>1N2TLS-UBT</v>
          </cell>
          <cell r="H1052">
            <v>0.65</v>
          </cell>
          <cell r="I1052">
            <v>92.307692307692307</v>
          </cell>
        </row>
        <row r="1053">
          <cell r="A1053">
            <v>1049</v>
          </cell>
          <cell r="B1053" t="str">
            <v>Mens</v>
          </cell>
          <cell r="C1053">
            <v>9</v>
          </cell>
          <cell r="D1053" t="str">
            <v>Assemble</v>
          </cell>
          <cell r="E1053" t="str">
            <v>Measure &amp; cut waist  elastic</v>
          </cell>
          <cell r="F1053" t="str">
            <v>H</v>
          </cell>
          <cell r="G1053" t="str">
            <v>Plain Table</v>
          </cell>
          <cell r="H1053">
            <v>0.4</v>
          </cell>
          <cell r="I1053">
            <v>150</v>
          </cell>
        </row>
        <row r="1054">
          <cell r="A1054">
            <v>1050</v>
          </cell>
          <cell r="B1054" t="str">
            <v>Mens</v>
          </cell>
          <cell r="C1054">
            <v>9</v>
          </cell>
          <cell r="D1054" t="str">
            <v>Assemble</v>
          </cell>
          <cell r="E1054" t="str">
            <v xml:space="preserve">Tack elastic </v>
          </cell>
          <cell r="F1054" t="str">
            <v>M</v>
          </cell>
          <cell r="G1054" t="str">
            <v>1N2TLS-UBT</v>
          </cell>
          <cell r="H1054">
            <v>0.3</v>
          </cell>
          <cell r="I1054">
            <v>200</v>
          </cell>
        </row>
        <row r="1055">
          <cell r="A1055">
            <v>1051</v>
          </cell>
          <cell r="B1055" t="str">
            <v>Mens</v>
          </cell>
          <cell r="C1055">
            <v>9</v>
          </cell>
          <cell r="D1055" t="str">
            <v>Assemble</v>
          </cell>
          <cell r="E1055" t="str">
            <v xml:space="preserve">Fold &amp; topstitch elastic </v>
          </cell>
          <cell r="F1055" t="str">
            <v>M</v>
          </cell>
          <cell r="G1055" t="str">
            <v>2N4TFL-UBT</v>
          </cell>
          <cell r="H1055">
            <v>0.3</v>
          </cell>
          <cell r="I1055">
            <v>200</v>
          </cell>
        </row>
        <row r="1056">
          <cell r="A1056">
            <v>1052</v>
          </cell>
          <cell r="B1056" t="str">
            <v>Mens</v>
          </cell>
          <cell r="C1056">
            <v>9</v>
          </cell>
          <cell r="D1056" t="str">
            <v>Assemble</v>
          </cell>
          <cell r="E1056" t="str">
            <v xml:space="preserve">Tack front tape centre </v>
          </cell>
          <cell r="F1056" t="str">
            <v>M</v>
          </cell>
          <cell r="G1056" t="str">
            <v>1N2TLS-UBT</v>
          </cell>
          <cell r="H1056">
            <v>0.3</v>
          </cell>
          <cell r="I1056">
            <v>200</v>
          </cell>
        </row>
        <row r="1057">
          <cell r="A1057">
            <v>1053</v>
          </cell>
          <cell r="B1057" t="str">
            <v>Mens</v>
          </cell>
          <cell r="C1057">
            <v>9</v>
          </cell>
          <cell r="D1057" t="str">
            <v>Assemble</v>
          </cell>
          <cell r="E1057" t="str">
            <v>Attach collar sharing tape to body</v>
          </cell>
          <cell r="F1057" t="str">
            <v>M</v>
          </cell>
          <cell r="G1057" t="str">
            <v>1N2TLS-UBT</v>
          </cell>
          <cell r="H1057">
            <v>0.8</v>
          </cell>
          <cell r="I1057">
            <v>75</v>
          </cell>
        </row>
        <row r="1058">
          <cell r="A1058">
            <v>1054</v>
          </cell>
          <cell r="B1058" t="str">
            <v>Mens</v>
          </cell>
          <cell r="C1058">
            <v>9</v>
          </cell>
          <cell r="D1058" t="str">
            <v>Assemble</v>
          </cell>
          <cell r="E1058" t="str">
            <v>Mouth close collar sharing tape</v>
          </cell>
          <cell r="F1058" t="str">
            <v>M</v>
          </cell>
          <cell r="G1058" t="str">
            <v>1N2TLS-UBT</v>
          </cell>
          <cell r="H1058">
            <v>0.75</v>
          </cell>
          <cell r="I1058">
            <v>80</v>
          </cell>
        </row>
        <row r="1059">
          <cell r="A1059">
            <v>1055</v>
          </cell>
          <cell r="B1059" t="str">
            <v>Mens</v>
          </cell>
          <cell r="C1059">
            <v>9</v>
          </cell>
          <cell r="D1059" t="str">
            <v>Assemble</v>
          </cell>
          <cell r="E1059" t="str">
            <v>close collar sharing tape by folder</v>
          </cell>
          <cell r="F1059" t="str">
            <v>M</v>
          </cell>
          <cell r="G1059" t="str">
            <v>1N2TLS-UBT</v>
          </cell>
          <cell r="H1059">
            <v>0.85</v>
          </cell>
          <cell r="I1059">
            <v>70.588235294117652</v>
          </cell>
        </row>
        <row r="1060">
          <cell r="A1060">
            <v>1056</v>
          </cell>
          <cell r="B1060" t="str">
            <v>Mens</v>
          </cell>
          <cell r="C1060">
            <v>9</v>
          </cell>
          <cell r="D1060" t="str">
            <v>Assemble</v>
          </cell>
          <cell r="E1060" t="str">
            <v>Mouth close collar binder tape</v>
          </cell>
          <cell r="F1060" t="str">
            <v>M</v>
          </cell>
          <cell r="G1060" t="str">
            <v>1N2TLS-UBT</v>
          </cell>
          <cell r="H1060">
            <v>0.75</v>
          </cell>
          <cell r="I1060">
            <v>80</v>
          </cell>
        </row>
        <row r="1061">
          <cell r="A1061">
            <v>1057</v>
          </cell>
          <cell r="B1061" t="str">
            <v>Mens</v>
          </cell>
          <cell r="C1061">
            <v>9</v>
          </cell>
          <cell r="D1061" t="str">
            <v>Assemble</v>
          </cell>
          <cell r="E1061" t="str">
            <v>Topstitch collar binder tape</v>
          </cell>
          <cell r="F1061" t="str">
            <v>M</v>
          </cell>
          <cell r="G1061" t="str">
            <v>1N2TLS-UBT</v>
          </cell>
          <cell r="H1061">
            <v>0.9</v>
          </cell>
          <cell r="I1061">
            <v>66.666666666666671</v>
          </cell>
        </row>
        <row r="1062">
          <cell r="A1062">
            <v>1058</v>
          </cell>
          <cell r="B1062" t="str">
            <v>Mens</v>
          </cell>
          <cell r="C1062">
            <v>9</v>
          </cell>
          <cell r="D1062" t="str">
            <v>Assemble</v>
          </cell>
          <cell r="E1062" t="str">
            <v>Attach binder tape to neck</v>
          </cell>
          <cell r="F1062" t="str">
            <v>M</v>
          </cell>
          <cell r="G1062" t="str">
            <v>1N2TLS-UBT</v>
          </cell>
          <cell r="H1062">
            <v>0.85</v>
          </cell>
          <cell r="I1062">
            <v>70.588235294117652</v>
          </cell>
        </row>
        <row r="1063">
          <cell r="A1063">
            <v>1059</v>
          </cell>
          <cell r="B1063" t="str">
            <v>Mens</v>
          </cell>
          <cell r="C1063">
            <v>9</v>
          </cell>
          <cell r="D1063" t="str">
            <v>Assemble</v>
          </cell>
          <cell r="E1063" t="str">
            <v>Mouth close neck binder tape</v>
          </cell>
          <cell r="F1063" t="str">
            <v>M</v>
          </cell>
          <cell r="G1063" t="str">
            <v>1N2TLS-UBT</v>
          </cell>
          <cell r="H1063">
            <v>0.75</v>
          </cell>
          <cell r="I1063">
            <v>80</v>
          </cell>
        </row>
        <row r="1064">
          <cell r="A1064">
            <v>1060</v>
          </cell>
          <cell r="B1064" t="str">
            <v>Mens</v>
          </cell>
          <cell r="C1064">
            <v>9</v>
          </cell>
          <cell r="D1064" t="str">
            <v>Assemble</v>
          </cell>
          <cell r="E1064" t="str">
            <v>fold &amp; topstitch tape at armhole</v>
          </cell>
          <cell r="F1064" t="str">
            <v>M</v>
          </cell>
          <cell r="G1064" t="str">
            <v>1N2TLS-UBT</v>
          </cell>
          <cell r="H1064">
            <v>0.8</v>
          </cell>
          <cell r="I1064">
            <v>75</v>
          </cell>
          <cell r="L1064" t="str">
            <v>check</v>
          </cell>
        </row>
        <row r="1065">
          <cell r="A1065">
            <v>1061</v>
          </cell>
          <cell r="B1065" t="str">
            <v>Mens</v>
          </cell>
          <cell r="C1065">
            <v>9</v>
          </cell>
          <cell r="D1065" t="str">
            <v>Assemble</v>
          </cell>
          <cell r="E1065" t="str">
            <v>trims &amp; check  tape at armhole</v>
          </cell>
          <cell r="F1065" t="str">
            <v>H</v>
          </cell>
          <cell r="G1065" t="str">
            <v>Plain Table</v>
          </cell>
          <cell r="H1065">
            <v>0.4</v>
          </cell>
          <cell r="I1065">
            <v>150</v>
          </cell>
        </row>
        <row r="1066">
          <cell r="A1066">
            <v>1062</v>
          </cell>
          <cell r="B1066" t="str">
            <v>Mens</v>
          </cell>
          <cell r="C1066">
            <v>9</v>
          </cell>
          <cell r="D1066" t="str">
            <v>Assemble</v>
          </cell>
          <cell r="E1066" t="str">
            <v>Fold &amp; make side vent</v>
          </cell>
          <cell r="F1066" t="str">
            <v>M</v>
          </cell>
          <cell r="G1066" t="str">
            <v>1N2TLS-UBT</v>
          </cell>
          <cell r="H1066">
            <v>0.7</v>
          </cell>
          <cell r="I1066">
            <v>85.714285714285722</v>
          </cell>
        </row>
        <row r="1067">
          <cell r="A1067">
            <v>1063</v>
          </cell>
          <cell r="B1067" t="str">
            <v>Mens</v>
          </cell>
          <cell r="C1067">
            <v>9</v>
          </cell>
          <cell r="D1067" t="str">
            <v>Assemble</v>
          </cell>
          <cell r="E1067" t="str">
            <v>Measure &amp; stitch open at side seam vent</v>
          </cell>
          <cell r="F1067" t="str">
            <v>H</v>
          </cell>
          <cell r="G1067" t="str">
            <v>Plain Table</v>
          </cell>
          <cell r="H1067">
            <v>0.8</v>
          </cell>
          <cell r="I1067">
            <v>75</v>
          </cell>
        </row>
        <row r="1068">
          <cell r="A1068">
            <v>1064</v>
          </cell>
          <cell r="B1068" t="str">
            <v>Mens</v>
          </cell>
          <cell r="C1068">
            <v>9</v>
          </cell>
          <cell r="D1068" t="str">
            <v>Assemble</v>
          </cell>
          <cell r="E1068" t="str">
            <v>Tack side seam for vent</v>
          </cell>
          <cell r="F1068" t="str">
            <v>M</v>
          </cell>
          <cell r="G1068" t="str">
            <v>1N2TLS-UBT</v>
          </cell>
          <cell r="H1068">
            <v>0.4</v>
          </cell>
          <cell r="I1068">
            <v>150</v>
          </cell>
        </row>
        <row r="1069">
          <cell r="A1069">
            <v>1065</v>
          </cell>
          <cell r="B1069" t="str">
            <v>Mens</v>
          </cell>
          <cell r="C1069">
            <v>9</v>
          </cell>
          <cell r="D1069" t="str">
            <v>Assemble</v>
          </cell>
          <cell r="E1069" t="str">
            <v>Make side Gusset</v>
          </cell>
          <cell r="F1069" t="str">
            <v>M</v>
          </cell>
          <cell r="G1069" t="str">
            <v>1N3TOL</v>
          </cell>
          <cell r="H1069">
            <v>0.4</v>
          </cell>
          <cell r="I1069">
            <v>150</v>
          </cell>
        </row>
        <row r="1070">
          <cell r="A1070">
            <v>1066</v>
          </cell>
          <cell r="B1070" t="str">
            <v>Mens</v>
          </cell>
          <cell r="C1070">
            <v>9</v>
          </cell>
          <cell r="D1070" t="str">
            <v>Assemble</v>
          </cell>
          <cell r="E1070" t="str">
            <v>Tack side gusset overlock</v>
          </cell>
          <cell r="F1070" t="str">
            <v>M</v>
          </cell>
          <cell r="G1070" t="str">
            <v>1N2TLS-UBT</v>
          </cell>
          <cell r="H1070">
            <v>0.4</v>
          </cell>
          <cell r="I1070">
            <v>150</v>
          </cell>
        </row>
        <row r="1071">
          <cell r="A1071">
            <v>1067</v>
          </cell>
          <cell r="B1071" t="str">
            <v>Mens</v>
          </cell>
          <cell r="C1071">
            <v>9</v>
          </cell>
          <cell r="D1071" t="str">
            <v>Assemble</v>
          </cell>
          <cell r="E1071" t="str">
            <v>attach front with back at neck</v>
          </cell>
          <cell r="F1071" t="str">
            <v>M</v>
          </cell>
          <cell r="G1071" t="str">
            <v>1N2TLS-UBT</v>
          </cell>
          <cell r="H1071">
            <v>0.6</v>
          </cell>
          <cell r="I1071">
            <v>100</v>
          </cell>
        </row>
        <row r="1072">
          <cell r="A1072">
            <v>1068</v>
          </cell>
          <cell r="B1072" t="str">
            <v>Mens</v>
          </cell>
          <cell r="C1072">
            <v>9</v>
          </cell>
          <cell r="D1072" t="str">
            <v>Assemble</v>
          </cell>
          <cell r="E1072" t="str">
            <v>Topstitch front &amp; back neck</v>
          </cell>
          <cell r="F1072" t="str">
            <v>M</v>
          </cell>
          <cell r="G1072" t="str">
            <v>1N2TLS-UBT</v>
          </cell>
          <cell r="H1072">
            <v>0.65</v>
          </cell>
          <cell r="I1072">
            <v>92.307692307692307</v>
          </cell>
        </row>
        <row r="1073">
          <cell r="A1073">
            <v>1069</v>
          </cell>
          <cell r="B1073" t="str">
            <v>Mens</v>
          </cell>
          <cell r="C1073">
            <v>9</v>
          </cell>
          <cell r="D1073" t="str">
            <v>Assemble</v>
          </cell>
          <cell r="E1073" t="str">
            <v>Mark front &amp; back to attach sleeve</v>
          </cell>
          <cell r="F1073" t="str">
            <v>H</v>
          </cell>
          <cell r="G1073" t="str">
            <v>Plain Table</v>
          </cell>
          <cell r="H1073">
            <v>0.8</v>
          </cell>
          <cell r="I1073">
            <v>75</v>
          </cell>
        </row>
        <row r="1074">
          <cell r="A1074">
            <v>1070</v>
          </cell>
          <cell r="B1074" t="str">
            <v>Mens</v>
          </cell>
          <cell r="C1074">
            <v>9</v>
          </cell>
          <cell r="D1074" t="str">
            <v>Assemble</v>
          </cell>
          <cell r="E1074" t="str">
            <v>Fold &amp; tack  to make band at shoulder</v>
          </cell>
          <cell r="F1074" t="str">
            <v>M</v>
          </cell>
          <cell r="G1074" t="str">
            <v>1N2TLS-UBT</v>
          </cell>
          <cell r="H1074">
            <v>0.86</v>
          </cell>
          <cell r="I1074">
            <v>69.767441860465112</v>
          </cell>
        </row>
        <row r="1075">
          <cell r="A1075">
            <v>1071</v>
          </cell>
          <cell r="B1075" t="str">
            <v>Mens</v>
          </cell>
          <cell r="C1075">
            <v>9</v>
          </cell>
          <cell r="D1075" t="str">
            <v>Assemble</v>
          </cell>
          <cell r="E1075" t="str">
            <v>Iron for make band</v>
          </cell>
          <cell r="F1075" t="str">
            <v>I</v>
          </cell>
          <cell r="G1075" t="str">
            <v>Iron Table</v>
          </cell>
          <cell r="H1075">
            <v>0.66</v>
          </cell>
          <cell r="I1075">
            <v>90.909090909090907</v>
          </cell>
        </row>
        <row r="1076">
          <cell r="A1076">
            <v>1072</v>
          </cell>
          <cell r="B1076" t="str">
            <v>Mens</v>
          </cell>
          <cell r="C1076">
            <v>9</v>
          </cell>
          <cell r="D1076" t="str">
            <v>Assemble</v>
          </cell>
          <cell r="E1076" t="str">
            <v>Attach binder tape to arm opening</v>
          </cell>
          <cell r="F1076" t="str">
            <v>M</v>
          </cell>
          <cell r="G1076" t="str">
            <v>1N2TLS-UBT</v>
          </cell>
          <cell r="H1076">
            <v>0.85</v>
          </cell>
          <cell r="I1076">
            <v>70.588235294117652</v>
          </cell>
          <cell r="L1076" t="str">
            <v>check</v>
          </cell>
        </row>
        <row r="1077">
          <cell r="A1077">
            <v>1073</v>
          </cell>
          <cell r="B1077" t="str">
            <v>Mens</v>
          </cell>
          <cell r="C1077">
            <v>9</v>
          </cell>
          <cell r="D1077" t="str">
            <v>Assemble</v>
          </cell>
          <cell r="E1077" t="str">
            <v>Measure &amp; cut hanger tape</v>
          </cell>
          <cell r="F1077" t="str">
            <v>H</v>
          </cell>
          <cell r="G1077" t="str">
            <v>Plain Table</v>
          </cell>
          <cell r="H1077">
            <v>0.3</v>
          </cell>
          <cell r="I1077">
            <v>200</v>
          </cell>
        </row>
        <row r="1078">
          <cell r="A1078">
            <v>1074</v>
          </cell>
          <cell r="B1078" t="str">
            <v>Mens</v>
          </cell>
          <cell r="C1078">
            <v>9</v>
          </cell>
          <cell r="D1078" t="str">
            <v>Assemble</v>
          </cell>
          <cell r="E1078" t="str">
            <v>attach hanger tape at shoulder</v>
          </cell>
          <cell r="F1078" t="str">
            <v>M</v>
          </cell>
          <cell r="G1078" t="str">
            <v>1N2TLS-UBT</v>
          </cell>
          <cell r="H1078">
            <v>0.6</v>
          </cell>
          <cell r="I1078">
            <v>100</v>
          </cell>
        </row>
        <row r="1079">
          <cell r="A1079">
            <v>1075</v>
          </cell>
          <cell r="B1079" t="str">
            <v>Mens</v>
          </cell>
          <cell r="C1079">
            <v>9</v>
          </cell>
          <cell r="D1079" t="str">
            <v>Assemble</v>
          </cell>
          <cell r="E1079" t="str">
            <v>Deco stitch at side seam</v>
          </cell>
          <cell r="F1079" t="str">
            <v>M</v>
          </cell>
          <cell r="G1079" t="str">
            <v>1N2TLS-UBT</v>
          </cell>
          <cell r="H1079">
            <v>0.9</v>
          </cell>
          <cell r="I1079">
            <v>66.666666666666671</v>
          </cell>
        </row>
        <row r="1080">
          <cell r="A1080">
            <v>1076</v>
          </cell>
          <cell r="B1080" t="str">
            <v>Mens</v>
          </cell>
          <cell r="C1080">
            <v>9</v>
          </cell>
          <cell r="D1080" t="str">
            <v>Assemble</v>
          </cell>
          <cell r="E1080" t="str">
            <v>Measure , cut &amp; tack elastic</v>
          </cell>
          <cell r="F1080" t="str">
            <v>M</v>
          </cell>
          <cell r="G1080" t="str">
            <v>1N2TLS-UBT</v>
          </cell>
          <cell r="H1080">
            <v>0.65</v>
          </cell>
          <cell r="I1080">
            <v>92.307692307692307</v>
          </cell>
        </row>
        <row r="1081">
          <cell r="A1081">
            <v>1077</v>
          </cell>
          <cell r="B1081" t="str">
            <v>Mens</v>
          </cell>
          <cell r="C1081">
            <v>9</v>
          </cell>
          <cell r="D1081" t="str">
            <v>Assemble</v>
          </cell>
          <cell r="E1081" t="str">
            <v>Trims collar neck</v>
          </cell>
          <cell r="F1081" t="str">
            <v>H</v>
          </cell>
          <cell r="G1081" t="str">
            <v>Plain Table</v>
          </cell>
          <cell r="H1081">
            <v>0.4</v>
          </cell>
          <cell r="I1081">
            <v>150</v>
          </cell>
        </row>
        <row r="1082">
          <cell r="A1082">
            <v>1078</v>
          </cell>
          <cell r="B1082" t="str">
            <v>Mens</v>
          </cell>
          <cell r="C1082">
            <v>9</v>
          </cell>
          <cell r="D1082" t="str">
            <v>Assemble</v>
          </cell>
          <cell r="E1082" t="str">
            <v>Rolling collar neck by folder (1/8")</v>
          </cell>
          <cell r="F1082" t="str">
            <v>M</v>
          </cell>
          <cell r="G1082" t="str">
            <v>1N2TLS-UBT</v>
          </cell>
          <cell r="H1082">
            <v>0.6</v>
          </cell>
          <cell r="I1082">
            <v>100</v>
          </cell>
        </row>
        <row r="1083">
          <cell r="A1083">
            <v>1079</v>
          </cell>
          <cell r="B1083" t="str">
            <v>Mens</v>
          </cell>
          <cell r="C1083">
            <v>9</v>
          </cell>
          <cell r="D1083" t="str">
            <v>Assemble</v>
          </cell>
          <cell r="E1083" t="str">
            <v>Smoking collar neck</v>
          </cell>
          <cell r="F1083" t="str">
            <v>M</v>
          </cell>
          <cell r="G1083" t="str">
            <v>4N8TCS</v>
          </cell>
          <cell r="H1083">
            <v>0.5</v>
          </cell>
          <cell r="I1083">
            <v>120</v>
          </cell>
        </row>
        <row r="1084">
          <cell r="A1084">
            <v>1080</v>
          </cell>
          <cell r="B1084" t="str">
            <v>Mens</v>
          </cell>
          <cell r="C1084">
            <v>9</v>
          </cell>
          <cell r="D1084" t="str">
            <v>Assemble</v>
          </cell>
          <cell r="E1084" t="str">
            <v>Trims &amp; check neck smoking</v>
          </cell>
          <cell r="F1084" t="str">
            <v>H</v>
          </cell>
          <cell r="G1084" t="str">
            <v>Plain Table</v>
          </cell>
          <cell r="H1084">
            <v>0.45</v>
          </cell>
          <cell r="I1084">
            <v>133.33333333333334</v>
          </cell>
        </row>
        <row r="1085">
          <cell r="A1085">
            <v>1081</v>
          </cell>
          <cell r="B1085" t="str">
            <v>Mens</v>
          </cell>
          <cell r="C1085">
            <v>9</v>
          </cell>
          <cell r="D1085" t="str">
            <v>Assemble</v>
          </cell>
          <cell r="E1085" t="str">
            <v>Attach neck tape at neck</v>
          </cell>
          <cell r="F1085" t="str">
            <v>M</v>
          </cell>
          <cell r="G1085" t="str">
            <v>1N2TLS-UBT</v>
          </cell>
          <cell r="H1085">
            <v>0.4</v>
          </cell>
          <cell r="I1085">
            <v>150</v>
          </cell>
        </row>
        <row r="1086">
          <cell r="A1086">
            <v>1082</v>
          </cell>
          <cell r="B1086" t="str">
            <v>Mens</v>
          </cell>
          <cell r="C1086">
            <v>9</v>
          </cell>
          <cell r="D1086" t="str">
            <v>Assemble</v>
          </cell>
          <cell r="E1086" t="str">
            <v>Attach binder  at front neck  by folder</v>
          </cell>
          <cell r="F1086" t="str">
            <v>M</v>
          </cell>
          <cell r="G1086" t="str">
            <v>1N2TLS-UBT</v>
          </cell>
          <cell r="H1086">
            <v>0.45</v>
          </cell>
          <cell r="I1086">
            <v>133.33333333333334</v>
          </cell>
        </row>
        <row r="1087">
          <cell r="A1087">
            <v>1083</v>
          </cell>
          <cell r="B1087" t="str">
            <v>Mens</v>
          </cell>
          <cell r="C1087">
            <v>9</v>
          </cell>
          <cell r="D1087" t="str">
            <v>Assemble</v>
          </cell>
          <cell r="E1087" t="str">
            <v>Fold &amp; T/S front opening tape with mouth</v>
          </cell>
          <cell r="F1087" t="str">
            <v>M</v>
          </cell>
          <cell r="G1087" t="str">
            <v>1N2TLS-UBT</v>
          </cell>
          <cell r="H1087">
            <v>0.85</v>
          </cell>
          <cell r="I1087">
            <v>70.588235294117652</v>
          </cell>
        </row>
        <row r="1088">
          <cell r="A1088">
            <v>1084</v>
          </cell>
          <cell r="B1088" t="str">
            <v>Mens</v>
          </cell>
          <cell r="C1088">
            <v>9</v>
          </cell>
          <cell r="D1088" t="str">
            <v>Assemble</v>
          </cell>
          <cell r="E1088" t="str">
            <v>Tack front opening centre</v>
          </cell>
          <cell r="F1088" t="str">
            <v>M</v>
          </cell>
          <cell r="G1088" t="str">
            <v>1N2TLS-UBT</v>
          </cell>
          <cell r="H1088">
            <v>0.4</v>
          </cell>
          <cell r="I1088">
            <v>150</v>
          </cell>
        </row>
        <row r="1089">
          <cell r="A1089">
            <v>1085</v>
          </cell>
          <cell r="B1089" t="str">
            <v>Mens</v>
          </cell>
          <cell r="C1089">
            <v>9</v>
          </cell>
          <cell r="D1089" t="str">
            <v>Assemble</v>
          </cell>
          <cell r="E1089" t="str">
            <v>Attach  top &amp; bottom  pannel</v>
          </cell>
          <cell r="F1089" t="str">
            <v>M</v>
          </cell>
          <cell r="G1089" t="str">
            <v>1N2TLS-UBT</v>
          </cell>
          <cell r="H1089">
            <v>1</v>
          </cell>
          <cell r="I1089">
            <v>60</v>
          </cell>
        </row>
        <row r="1090">
          <cell r="A1090">
            <v>1086</v>
          </cell>
          <cell r="B1090" t="str">
            <v>Mens</v>
          </cell>
          <cell r="C1090">
            <v>9</v>
          </cell>
          <cell r="D1090" t="str">
            <v>Assemble</v>
          </cell>
          <cell r="E1090" t="str">
            <v>Close top &amp; middle  pannel</v>
          </cell>
          <cell r="F1090" t="str">
            <v>M</v>
          </cell>
          <cell r="G1090" t="str">
            <v>1N3TOL</v>
          </cell>
          <cell r="H1090">
            <v>0.85</v>
          </cell>
          <cell r="I1090">
            <v>70.588235294117652</v>
          </cell>
        </row>
        <row r="1091">
          <cell r="A1091">
            <v>1087</v>
          </cell>
          <cell r="B1091" t="str">
            <v>Mens</v>
          </cell>
          <cell r="C1091">
            <v>9</v>
          </cell>
          <cell r="D1091" t="str">
            <v>Assemble</v>
          </cell>
          <cell r="E1091" t="str">
            <v xml:space="preserve">attach arm tape </v>
          </cell>
          <cell r="F1091" t="str">
            <v>M</v>
          </cell>
          <cell r="G1091" t="str">
            <v>1N2TLS-UBT</v>
          </cell>
          <cell r="H1091">
            <v>0.4</v>
          </cell>
          <cell r="I1091">
            <v>150</v>
          </cell>
        </row>
        <row r="1092">
          <cell r="A1092">
            <v>1088</v>
          </cell>
          <cell r="B1092" t="str">
            <v>Mens</v>
          </cell>
          <cell r="C1092">
            <v>9</v>
          </cell>
          <cell r="D1092" t="str">
            <v>Assemble</v>
          </cell>
          <cell r="E1092" t="str">
            <v>sharing sleeve opening</v>
          </cell>
          <cell r="F1092" t="str">
            <v>M</v>
          </cell>
          <cell r="G1092" t="str">
            <v>1N2TLS-UBT</v>
          </cell>
          <cell r="H1092">
            <v>0.5</v>
          </cell>
          <cell r="I1092">
            <v>120</v>
          </cell>
        </row>
        <row r="1093">
          <cell r="A1093">
            <v>1089</v>
          </cell>
          <cell r="B1093" t="str">
            <v>Mens</v>
          </cell>
          <cell r="C1093">
            <v>9</v>
          </cell>
          <cell r="D1093" t="str">
            <v>Assemble</v>
          </cell>
          <cell r="E1093" t="str">
            <v>fold &amp; topstitch  Side Vent</v>
          </cell>
          <cell r="F1093" t="str">
            <v>M</v>
          </cell>
          <cell r="G1093" t="str">
            <v>1N2TLS-UBT</v>
          </cell>
          <cell r="H1093">
            <v>1.5</v>
          </cell>
          <cell r="I1093">
            <v>40</v>
          </cell>
        </row>
        <row r="1094">
          <cell r="A1094">
            <v>1090</v>
          </cell>
          <cell r="B1094" t="str">
            <v>Mens</v>
          </cell>
          <cell r="C1094">
            <v>9</v>
          </cell>
          <cell r="D1094" t="str">
            <v>Assemble</v>
          </cell>
          <cell r="E1094" t="str">
            <v>Tack  tape at shoulder</v>
          </cell>
          <cell r="F1094" t="str">
            <v>M</v>
          </cell>
          <cell r="G1094" t="str">
            <v>1N2TLS-UBT</v>
          </cell>
          <cell r="H1094">
            <v>0.5</v>
          </cell>
          <cell r="I1094">
            <v>120</v>
          </cell>
        </row>
        <row r="1095">
          <cell r="A1095">
            <v>1091</v>
          </cell>
          <cell r="B1095" t="str">
            <v>Mens</v>
          </cell>
          <cell r="C1095">
            <v>9</v>
          </cell>
          <cell r="D1095" t="str">
            <v>Assemble</v>
          </cell>
          <cell r="E1095" t="str">
            <v>attach under to body</v>
          </cell>
          <cell r="F1095" t="str">
            <v>M</v>
          </cell>
          <cell r="G1095" t="str">
            <v>2N5TOL</v>
          </cell>
          <cell r="H1095">
            <v>0.6</v>
          </cell>
          <cell r="I1095">
            <v>100</v>
          </cell>
        </row>
        <row r="1096">
          <cell r="A1096">
            <v>1092</v>
          </cell>
          <cell r="B1096" t="str">
            <v>Mens</v>
          </cell>
          <cell r="C1096">
            <v>9</v>
          </cell>
          <cell r="D1096" t="str">
            <v>Assemble</v>
          </cell>
          <cell r="E1096" t="str">
            <v>Tack under to body</v>
          </cell>
          <cell r="F1096" t="str">
            <v>M</v>
          </cell>
          <cell r="G1096" t="str">
            <v>1N2TLS-UBT</v>
          </cell>
          <cell r="H1096">
            <v>0.5</v>
          </cell>
          <cell r="I1096">
            <v>120</v>
          </cell>
        </row>
        <row r="1097">
          <cell r="A1097">
            <v>1093</v>
          </cell>
          <cell r="B1097" t="str">
            <v>Mens</v>
          </cell>
          <cell r="C1097">
            <v>9</v>
          </cell>
          <cell r="D1097" t="str">
            <v>Assemble</v>
          </cell>
          <cell r="E1097" t="str">
            <v>Topstitch under to body</v>
          </cell>
          <cell r="F1097" t="str">
            <v>M</v>
          </cell>
          <cell r="G1097" t="str">
            <v>1N2TLS-UBT</v>
          </cell>
          <cell r="H1097">
            <v>1.2</v>
          </cell>
          <cell r="I1097">
            <v>50</v>
          </cell>
        </row>
        <row r="1098">
          <cell r="A1098">
            <v>1094</v>
          </cell>
          <cell r="B1098" t="str">
            <v>Mens</v>
          </cell>
          <cell r="C1098">
            <v>9</v>
          </cell>
          <cell r="D1098" t="str">
            <v>Assemble</v>
          </cell>
          <cell r="E1098" t="str">
            <v>attach elastic under edge x 2</v>
          </cell>
          <cell r="F1098" t="str">
            <v>M</v>
          </cell>
          <cell r="G1098" t="str">
            <v>3N6TFL-UBT</v>
          </cell>
          <cell r="H1098">
            <v>1.3</v>
          </cell>
          <cell r="I1098">
            <v>46.153846153846153</v>
          </cell>
        </row>
        <row r="1099">
          <cell r="A1099">
            <v>1095</v>
          </cell>
          <cell r="B1099" t="str">
            <v>Mens</v>
          </cell>
          <cell r="C1099">
            <v>9</v>
          </cell>
          <cell r="D1099" t="str">
            <v>Assemble</v>
          </cell>
          <cell r="E1099" t="str">
            <v>attach hole pannel  at under front x 1</v>
          </cell>
          <cell r="F1099" t="str">
            <v>M</v>
          </cell>
          <cell r="G1099" t="str">
            <v>1N2TLS-UBT</v>
          </cell>
          <cell r="H1099">
            <v>0.6</v>
          </cell>
          <cell r="I1099">
            <v>100</v>
          </cell>
        </row>
        <row r="1100">
          <cell r="A1100">
            <v>1096</v>
          </cell>
          <cell r="B1100" t="str">
            <v>Mens</v>
          </cell>
          <cell r="C1100">
            <v>9</v>
          </cell>
          <cell r="D1100" t="str">
            <v>Assemble</v>
          </cell>
          <cell r="E1100" t="str">
            <v>Trims  &amp; check under after attach hole facing</v>
          </cell>
          <cell r="F1100" t="str">
            <v>H</v>
          </cell>
          <cell r="G1100" t="str">
            <v>Plain Table</v>
          </cell>
          <cell r="H1100">
            <v>0.45</v>
          </cell>
          <cell r="I1100">
            <v>133.33333333333334</v>
          </cell>
        </row>
        <row r="1101">
          <cell r="A1101">
            <v>1097</v>
          </cell>
          <cell r="B1101" t="str">
            <v>Mens</v>
          </cell>
          <cell r="C1101">
            <v>9</v>
          </cell>
          <cell r="D1101" t="str">
            <v>Assemble</v>
          </cell>
          <cell r="E1101" t="str">
            <v>attach hole pannel  at under back x 2</v>
          </cell>
          <cell r="F1101" t="str">
            <v>M</v>
          </cell>
          <cell r="G1101" t="str">
            <v>1N2TLS-UBT</v>
          </cell>
          <cell r="H1101">
            <v>1.2</v>
          </cell>
          <cell r="I1101">
            <v>50</v>
          </cell>
        </row>
        <row r="1102">
          <cell r="A1102">
            <v>1098</v>
          </cell>
          <cell r="B1102" t="str">
            <v>Mens</v>
          </cell>
          <cell r="C1102">
            <v>9</v>
          </cell>
          <cell r="D1102" t="str">
            <v>Assemble</v>
          </cell>
          <cell r="E1102" t="str">
            <v>Tack elastic at under egde</v>
          </cell>
          <cell r="F1102" t="str">
            <v>M</v>
          </cell>
          <cell r="G1102" t="str">
            <v>1N2TLS-UBT</v>
          </cell>
          <cell r="H1102">
            <v>0.4</v>
          </cell>
          <cell r="I1102">
            <v>150</v>
          </cell>
        </row>
        <row r="1103">
          <cell r="A1103">
            <v>1099</v>
          </cell>
          <cell r="B1103" t="str">
            <v>Mens</v>
          </cell>
          <cell r="C1103">
            <v>9</v>
          </cell>
          <cell r="D1103" t="str">
            <v>Assemble</v>
          </cell>
          <cell r="E1103" t="str">
            <v>Topstitch at waist elastic centre</v>
          </cell>
          <cell r="F1103" t="str">
            <v>M</v>
          </cell>
          <cell r="G1103" t="str">
            <v>1N2TLS-UBT</v>
          </cell>
          <cell r="H1103">
            <v>0.3</v>
          </cell>
          <cell r="I1103">
            <v>200</v>
          </cell>
        </row>
        <row r="1104">
          <cell r="A1104">
            <v>1100</v>
          </cell>
          <cell r="B1104" t="str">
            <v>Mens</v>
          </cell>
          <cell r="C1104">
            <v>9</v>
          </cell>
          <cell r="D1104" t="str">
            <v>Assemble</v>
          </cell>
          <cell r="E1104" t="str">
            <v>Attach upper part top pannel</v>
          </cell>
          <cell r="F1104" t="str">
            <v>M</v>
          </cell>
          <cell r="G1104" t="str">
            <v>2N5TOL</v>
          </cell>
          <cell r="H1104">
            <v>0.5</v>
          </cell>
          <cell r="I1104">
            <v>120</v>
          </cell>
        </row>
        <row r="1105">
          <cell r="A1105">
            <v>1101</v>
          </cell>
          <cell r="B1105" t="str">
            <v>Mens</v>
          </cell>
          <cell r="C1105">
            <v>9</v>
          </cell>
          <cell r="D1105" t="str">
            <v>Assemble</v>
          </cell>
          <cell r="E1105" t="str">
            <v>Attach upper part bottom  pannel</v>
          </cell>
          <cell r="F1105" t="str">
            <v>M</v>
          </cell>
          <cell r="G1105" t="str">
            <v>2N5TOL</v>
          </cell>
          <cell r="H1105">
            <v>0.5</v>
          </cell>
          <cell r="I1105">
            <v>120</v>
          </cell>
        </row>
        <row r="1106">
          <cell r="A1106">
            <v>1102</v>
          </cell>
          <cell r="B1106" t="str">
            <v>Mens</v>
          </cell>
          <cell r="C1106">
            <v>9</v>
          </cell>
          <cell r="D1106" t="str">
            <v>Assemble</v>
          </cell>
          <cell r="E1106" t="str">
            <v>Sharing upper part bottom pannel</v>
          </cell>
          <cell r="F1106" t="str">
            <v>M</v>
          </cell>
          <cell r="G1106" t="str">
            <v>1N2TLS-UBT</v>
          </cell>
          <cell r="H1106">
            <v>0.6</v>
          </cell>
          <cell r="I1106">
            <v>100</v>
          </cell>
        </row>
        <row r="1107">
          <cell r="A1107">
            <v>1103</v>
          </cell>
          <cell r="B1107" t="str">
            <v>Mens</v>
          </cell>
          <cell r="C1107">
            <v>9</v>
          </cell>
          <cell r="D1107" t="str">
            <v>Assemble</v>
          </cell>
          <cell r="E1107" t="str">
            <v>Match upper part Top &amp; bottom pannel</v>
          </cell>
          <cell r="F1107" t="str">
            <v>H</v>
          </cell>
          <cell r="G1107" t="str">
            <v>Plain Table</v>
          </cell>
          <cell r="H1107">
            <v>0.4</v>
          </cell>
          <cell r="I1107">
            <v>150</v>
          </cell>
        </row>
        <row r="1108">
          <cell r="A1108">
            <v>1104</v>
          </cell>
          <cell r="B1108" t="str">
            <v>Mens</v>
          </cell>
          <cell r="C1108">
            <v>9</v>
          </cell>
          <cell r="D1108" t="str">
            <v>Assemble</v>
          </cell>
          <cell r="E1108" t="str">
            <v>Attach upper two part</v>
          </cell>
          <cell r="F1108" t="str">
            <v>M</v>
          </cell>
          <cell r="G1108" t="str">
            <v>2N5TOL</v>
          </cell>
          <cell r="H1108">
            <v>0.86</v>
          </cell>
          <cell r="I1108">
            <v>69.767441860465112</v>
          </cell>
        </row>
        <row r="1109">
          <cell r="A1109">
            <v>1105</v>
          </cell>
          <cell r="B1109" t="str">
            <v>Mens</v>
          </cell>
          <cell r="C1109">
            <v>9</v>
          </cell>
          <cell r="D1109" t="str">
            <v>Assemble</v>
          </cell>
          <cell r="E1109" t="str">
            <v>Tack upper two part at side</v>
          </cell>
          <cell r="F1109" t="str">
            <v>M</v>
          </cell>
          <cell r="G1109" t="str">
            <v>1N2TLS-UBT</v>
          </cell>
          <cell r="H1109">
            <v>0.6</v>
          </cell>
          <cell r="I1109">
            <v>100</v>
          </cell>
        </row>
        <row r="1110">
          <cell r="A1110">
            <v>1106</v>
          </cell>
          <cell r="B1110" t="str">
            <v>Mens</v>
          </cell>
          <cell r="C1110">
            <v>9</v>
          </cell>
          <cell r="D1110" t="str">
            <v>Assemble</v>
          </cell>
          <cell r="E1110" t="str">
            <v>Trims &amp; check upper two part</v>
          </cell>
          <cell r="F1110" t="str">
            <v>H</v>
          </cell>
          <cell r="G1110" t="str">
            <v>Plain Table</v>
          </cell>
          <cell r="H1110">
            <v>0.4</v>
          </cell>
          <cell r="I1110">
            <v>150</v>
          </cell>
        </row>
        <row r="1111">
          <cell r="A1111">
            <v>1107</v>
          </cell>
          <cell r="B1111" t="str">
            <v>Mens</v>
          </cell>
          <cell r="C1111">
            <v>9</v>
          </cell>
          <cell r="D1111" t="str">
            <v>Assemble</v>
          </cell>
          <cell r="E1111" t="str">
            <v xml:space="preserve">Topstitch upper part </v>
          </cell>
          <cell r="F1111" t="str">
            <v>M</v>
          </cell>
          <cell r="G1111" t="str">
            <v>1N2TLS-UBT</v>
          </cell>
          <cell r="H1111">
            <v>1.5</v>
          </cell>
          <cell r="I1111">
            <v>40</v>
          </cell>
        </row>
        <row r="1112">
          <cell r="A1112">
            <v>1108</v>
          </cell>
          <cell r="B1112" t="str">
            <v>Mens</v>
          </cell>
          <cell r="C1112">
            <v>9</v>
          </cell>
          <cell r="D1112" t="str">
            <v>Assemble</v>
          </cell>
          <cell r="E1112" t="str">
            <v>Bottom hem upper part</v>
          </cell>
          <cell r="F1112" t="str">
            <v>M</v>
          </cell>
          <cell r="G1112" t="str">
            <v>1N2TLS-UBT</v>
          </cell>
          <cell r="H1112">
            <v>0.5</v>
          </cell>
          <cell r="I1112">
            <v>120</v>
          </cell>
        </row>
        <row r="1113">
          <cell r="A1113">
            <v>1109</v>
          </cell>
          <cell r="B1113" t="str">
            <v>Mens</v>
          </cell>
          <cell r="C1113">
            <v>9</v>
          </cell>
          <cell r="D1113" t="str">
            <v>Assemble</v>
          </cell>
          <cell r="E1113" t="str">
            <v>Match top &amp; bottom part</v>
          </cell>
          <cell r="F1113" t="str">
            <v>H</v>
          </cell>
          <cell r="G1113" t="str">
            <v>Plain Table</v>
          </cell>
          <cell r="H1113">
            <v>0.4</v>
          </cell>
          <cell r="I1113">
            <v>150</v>
          </cell>
        </row>
        <row r="1114">
          <cell r="A1114">
            <v>1110</v>
          </cell>
          <cell r="B1114" t="str">
            <v>Mens</v>
          </cell>
          <cell r="C1114">
            <v>9</v>
          </cell>
          <cell r="D1114" t="str">
            <v>Assemble</v>
          </cell>
          <cell r="E1114" t="str">
            <v>Tack top &amp; bottom par at side</v>
          </cell>
          <cell r="F1114" t="str">
            <v>M</v>
          </cell>
          <cell r="G1114" t="str">
            <v>1N2TLS-UBT</v>
          </cell>
          <cell r="H1114">
            <v>0.5</v>
          </cell>
          <cell r="I1114">
            <v>120</v>
          </cell>
        </row>
        <row r="1115">
          <cell r="A1115">
            <v>1111</v>
          </cell>
          <cell r="B1115" t="str">
            <v>Mens</v>
          </cell>
          <cell r="C1115">
            <v>9</v>
          </cell>
          <cell r="D1115" t="str">
            <v>Assemble</v>
          </cell>
          <cell r="E1115" t="str">
            <v>Attach top &amp; bottom part</v>
          </cell>
          <cell r="F1115" t="str">
            <v>M</v>
          </cell>
          <cell r="G1115" t="str">
            <v>1N2TLS-UBT</v>
          </cell>
          <cell r="H1115">
            <v>0.85</v>
          </cell>
          <cell r="I1115">
            <v>70.588235294117652</v>
          </cell>
        </row>
        <row r="1116">
          <cell r="A1116">
            <v>1112</v>
          </cell>
          <cell r="B1116" t="str">
            <v>Mens</v>
          </cell>
          <cell r="C1116">
            <v>9</v>
          </cell>
          <cell r="D1116" t="str">
            <v>Assemble</v>
          </cell>
          <cell r="E1116" t="str">
            <v>Match elastic with body</v>
          </cell>
          <cell r="F1116" t="str">
            <v>H</v>
          </cell>
          <cell r="G1116" t="str">
            <v>Plain Table</v>
          </cell>
          <cell r="H1116">
            <v>0.4</v>
          </cell>
          <cell r="I1116">
            <v>150</v>
          </cell>
        </row>
        <row r="1117">
          <cell r="A1117">
            <v>1113</v>
          </cell>
          <cell r="B1117" t="str">
            <v>Mens</v>
          </cell>
          <cell r="C1117">
            <v>9</v>
          </cell>
          <cell r="D1117" t="str">
            <v>Assemble</v>
          </cell>
          <cell r="E1117" t="str">
            <v>Attach elastic with body</v>
          </cell>
          <cell r="F1117" t="str">
            <v>M</v>
          </cell>
          <cell r="G1117" t="str">
            <v>1N2TLS-UBT</v>
          </cell>
          <cell r="H1117">
            <v>0.85</v>
          </cell>
          <cell r="I1117">
            <v>70.588235294117652</v>
          </cell>
        </row>
        <row r="1118">
          <cell r="A1118">
            <v>1114</v>
          </cell>
          <cell r="B1118" t="str">
            <v>Mens</v>
          </cell>
          <cell r="C1118">
            <v>9</v>
          </cell>
          <cell r="D1118" t="str">
            <v>Assemble</v>
          </cell>
          <cell r="E1118" t="str">
            <v xml:space="preserve">Topstitch waist  elastic </v>
          </cell>
          <cell r="F1118" t="str">
            <v>M</v>
          </cell>
          <cell r="G1118" t="str">
            <v>2N4TFL-UBT</v>
          </cell>
          <cell r="H1118">
            <v>0.7</v>
          </cell>
          <cell r="I1118">
            <v>85.714285714285722</v>
          </cell>
        </row>
        <row r="1119">
          <cell r="A1119">
            <v>1115</v>
          </cell>
          <cell r="B1119" t="str">
            <v>Mens</v>
          </cell>
          <cell r="C1119">
            <v>9</v>
          </cell>
          <cell r="D1119" t="str">
            <v>Assemble</v>
          </cell>
          <cell r="E1119" t="str">
            <v xml:space="preserve">Trims &amp; check waist </v>
          </cell>
          <cell r="F1119" t="str">
            <v>H</v>
          </cell>
          <cell r="G1119" t="str">
            <v>Plain Table</v>
          </cell>
          <cell r="H1119">
            <v>0.6</v>
          </cell>
          <cell r="I1119">
            <v>100</v>
          </cell>
        </row>
        <row r="1120">
          <cell r="A1120">
            <v>1116</v>
          </cell>
          <cell r="B1120" t="str">
            <v>Mens</v>
          </cell>
          <cell r="C1120">
            <v>9</v>
          </cell>
          <cell r="D1120" t="str">
            <v>Assemble</v>
          </cell>
          <cell r="E1120" t="str">
            <v xml:space="preserve">Trims waist edge </v>
          </cell>
          <cell r="F1120" t="str">
            <v>M</v>
          </cell>
          <cell r="G1120" t="str">
            <v>1N3TOL</v>
          </cell>
          <cell r="H1120">
            <v>0.4</v>
          </cell>
          <cell r="I1120">
            <v>150</v>
          </cell>
        </row>
        <row r="1121">
          <cell r="A1121">
            <v>1117</v>
          </cell>
          <cell r="B1121" t="str">
            <v>Mens</v>
          </cell>
          <cell r="C1121">
            <v>9</v>
          </cell>
          <cell r="D1121" t="str">
            <v>Assemble</v>
          </cell>
          <cell r="E1121" t="str">
            <v xml:space="preserve">Attach waist label &amp; care label </v>
          </cell>
          <cell r="F1121" t="str">
            <v>M</v>
          </cell>
          <cell r="G1121" t="str">
            <v>1N2TLS-UBT</v>
          </cell>
          <cell r="H1121">
            <v>0.4</v>
          </cell>
          <cell r="I1121">
            <v>150</v>
          </cell>
        </row>
        <row r="1122">
          <cell r="A1122">
            <v>1118</v>
          </cell>
          <cell r="B1122" t="str">
            <v>Mens</v>
          </cell>
          <cell r="C1122">
            <v>9</v>
          </cell>
          <cell r="D1122" t="str">
            <v>Assemble</v>
          </cell>
          <cell r="E1122" t="str">
            <v>Attach snap[ button top x 13</v>
          </cell>
          <cell r="F1122" t="str">
            <v>M</v>
          </cell>
          <cell r="G1122" t="str">
            <v>Snap button</v>
          </cell>
          <cell r="H1122">
            <v>0.91000000000000014</v>
          </cell>
          <cell r="I1122">
            <v>65.934065934065927</v>
          </cell>
        </row>
        <row r="1123">
          <cell r="A1123">
            <v>1119</v>
          </cell>
          <cell r="B1123" t="str">
            <v>Mens</v>
          </cell>
          <cell r="C1123">
            <v>9</v>
          </cell>
          <cell r="D1123" t="str">
            <v>Assemble</v>
          </cell>
          <cell r="E1123" t="str">
            <v>Attach snap button buttom x13</v>
          </cell>
          <cell r="F1123" t="str">
            <v>M</v>
          </cell>
          <cell r="G1123" t="str">
            <v>Snap button</v>
          </cell>
          <cell r="H1123">
            <v>0.91</v>
          </cell>
          <cell r="I1123">
            <v>65.934065934065927</v>
          </cell>
        </row>
        <row r="1124">
          <cell r="A1124">
            <v>1120</v>
          </cell>
          <cell r="B1124" t="str">
            <v>Mens</v>
          </cell>
          <cell r="C1124">
            <v>9</v>
          </cell>
          <cell r="D1124" t="str">
            <v>Assemble</v>
          </cell>
          <cell r="E1124" t="str">
            <v>mark snap button cuff &amp; flap</v>
          </cell>
          <cell r="F1124" t="str">
            <v>H</v>
          </cell>
          <cell r="G1124" t="str">
            <v>Plain Table</v>
          </cell>
          <cell r="H1124">
            <v>1</v>
          </cell>
          <cell r="I1124">
            <v>60</v>
          </cell>
        </row>
        <row r="1125">
          <cell r="A1125">
            <v>1121</v>
          </cell>
          <cell r="B1125" t="str">
            <v>Mens</v>
          </cell>
          <cell r="C1125">
            <v>9</v>
          </cell>
          <cell r="D1125" t="str">
            <v>Assemble</v>
          </cell>
          <cell r="E1125" t="str">
            <v>Attach Side Seam</v>
          </cell>
          <cell r="F1125" t="str">
            <v>M</v>
          </cell>
          <cell r="G1125" t="str">
            <v>1N2TLS-UBT</v>
          </cell>
          <cell r="H1125">
            <v>1.2</v>
          </cell>
          <cell r="I1125">
            <v>50</v>
          </cell>
        </row>
        <row r="1126">
          <cell r="A1126">
            <v>1122</v>
          </cell>
          <cell r="B1126" t="str">
            <v>Mens</v>
          </cell>
          <cell r="C1126">
            <v>9</v>
          </cell>
          <cell r="D1126" t="str">
            <v>Assemble</v>
          </cell>
          <cell r="E1126" t="str">
            <v>Tack binder tape for continious</v>
          </cell>
          <cell r="F1126" t="str">
            <v>M</v>
          </cell>
          <cell r="G1126" t="str">
            <v>1N2TLS-UBT</v>
          </cell>
          <cell r="H1126">
            <v>0.2</v>
          </cell>
          <cell r="I1126">
            <v>300</v>
          </cell>
          <cell r="L1126" t="str">
            <v>check</v>
          </cell>
        </row>
        <row r="1127">
          <cell r="A1127">
            <v>1123</v>
          </cell>
          <cell r="B1127" t="str">
            <v>Mens</v>
          </cell>
          <cell r="C1127">
            <v>9</v>
          </cell>
          <cell r="D1127" t="str">
            <v>Assemble</v>
          </cell>
          <cell r="E1127" t="str">
            <v>Tack armhole before side seam</v>
          </cell>
          <cell r="F1127" t="str">
            <v>M</v>
          </cell>
          <cell r="G1127" t="str">
            <v>1N2TLS-UBT</v>
          </cell>
          <cell r="H1127">
            <v>0.4</v>
          </cell>
          <cell r="I1127">
            <v>150</v>
          </cell>
          <cell r="L1127" t="str">
            <v>check</v>
          </cell>
        </row>
        <row r="1128">
          <cell r="A1128">
            <v>1124</v>
          </cell>
          <cell r="B1128" t="str">
            <v>Mens</v>
          </cell>
          <cell r="C1128">
            <v>9</v>
          </cell>
          <cell r="D1128" t="str">
            <v>Assemble</v>
          </cell>
          <cell r="E1128" t="str">
            <v>Attach Side Seam</v>
          </cell>
          <cell r="F1128" t="str">
            <v>M</v>
          </cell>
          <cell r="G1128" t="str">
            <v>1N3TOL</v>
          </cell>
          <cell r="H1128">
            <v>0.5</v>
          </cell>
          <cell r="I1128">
            <v>120</v>
          </cell>
        </row>
        <row r="1129">
          <cell r="A1129">
            <v>1125</v>
          </cell>
          <cell r="B1129" t="str">
            <v>Mens</v>
          </cell>
        </row>
        <row r="1130">
          <cell r="A1130">
            <v>1126</v>
          </cell>
        </row>
        <row r="1131">
          <cell r="A1131">
            <v>1127</v>
          </cell>
        </row>
        <row r="1132">
          <cell r="A1132">
            <v>1128</v>
          </cell>
        </row>
        <row r="1133">
          <cell r="A1133">
            <v>1129</v>
          </cell>
        </row>
        <row r="1134">
          <cell r="A1134">
            <v>1130</v>
          </cell>
        </row>
        <row r="1135">
          <cell r="A1135">
            <v>1131</v>
          </cell>
        </row>
        <row r="1136">
          <cell r="A1136">
            <v>1132</v>
          </cell>
        </row>
        <row r="1137">
          <cell r="A1137">
            <v>1133</v>
          </cell>
        </row>
        <row r="1138">
          <cell r="A1138">
            <v>1134</v>
          </cell>
        </row>
        <row r="1139">
          <cell r="A1139">
            <v>1135</v>
          </cell>
        </row>
        <row r="1140">
          <cell r="A1140">
            <v>1136</v>
          </cell>
        </row>
        <row r="1141">
          <cell r="A1141">
            <v>1137</v>
          </cell>
        </row>
        <row r="1142">
          <cell r="A1142">
            <v>1138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Q159"/>
  <sheetViews>
    <sheetView tabSelected="1" view="pageBreakPreview" topLeftCell="A52" zoomScale="85" zoomScaleSheetLayoutView="85" workbookViewId="0">
      <selection activeCell="H69" sqref="H69"/>
    </sheetView>
  </sheetViews>
  <sheetFormatPr defaultRowHeight="15"/>
  <cols>
    <col min="1" max="1" width="4.28515625" customWidth="1"/>
    <col min="2" max="2" width="26.28515625" customWidth="1"/>
    <col min="3" max="3" width="14.28515625" customWidth="1"/>
    <col min="4" max="4" width="19.42578125" style="123" customWidth="1"/>
    <col min="5" max="5" width="9" bestFit="1" customWidth="1"/>
    <col min="6" max="6" width="7.85546875" customWidth="1"/>
    <col min="7" max="7" width="10.28515625" customWidth="1"/>
    <col min="8" max="8" width="10.42578125" style="123" customWidth="1"/>
    <col min="9" max="9" width="9.7109375" customWidth="1"/>
    <col min="10" max="10" width="13.140625" style="123" customWidth="1"/>
    <col min="12" max="12" width="11.85546875" bestFit="1" customWidth="1"/>
    <col min="13" max="13" width="11" style="123" customWidth="1"/>
    <col min="14" max="14" width="9" bestFit="1" customWidth="1"/>
  </cols>
  <sheetData>
    <row r="1" spans="1:19" ht="16.5" thickBot="1">
      <c r="A1" s="142" t="s">
        <v>0</v>
      </c>
      <c r="B1" s="143"/>
      <c r="C1" s="143"/>
      <c r="D1" s="143"/>
      <c r="E1" s="143"/>
      <c r="F1" s="144" t="s">
        <v>1</v>
      </c>
      <c r="G1" s="145"/>
      <c r="H1" s="145"/>
      <c r="I1" s="145"/>
      <c r="J1" s="145"/>
      <c r="K1" s="145"/>
      <c r="L1" s="145"/>
      <c r="M1" s="146"/>
    </row>
    <row r="2" spans="1:19" s="4" customFormat="1" ht="15.75" thickBot="1">
      <c r="A2" s="1"/>
      <c r="B2" s="2" t="s">
        <v>2</v>
      </c>
      <c r="C2" s="147" t="s">
        <v>127</v>
      </c>
      <c r="D2" s="148"/>
      <c r="E2" s="3" t="s">
        <v>3</v>
      </c>
      <c r="F2" s="3" t="s">
        <v>4</v>
      </c>
      <c r="G2" s="149" t="s">
        <v>128</v>
      </c>
      <c r="H2" s="150"/>
      <c r="I2" s="150"/>
      <c r="J2" s="150"/>
      <c r="K2" s="150"/>
      <c r="L2" s="150"/>
      <c r="M2" s="151"/>
      <c r="N2"/>
    </row>
    <row r="3" spans="1:19" s="4" customFormat="1">
      <c r="A3" s="5"/>
      <c r="B3" s="6" t="s">
        <v>5</v>
      </c>
      <c r="C3" s="7">
        <f>G101</f>
        <v>16.630000000000003</v>
      </c>
      <c r="D3" s="8" t="s">
        <v>6</v>
      </c>
      <c r="E3" s="9">
        <f>480/C5*I5</f>
        <v>1552.0833333333333</v>
      </c>
      <c r="F3" s="10">
        <f>E3/8</f>
        <v>194.01041666666666</v>
      </c>
      <c r="G3" s="152" t="s">
        <v>7</v>
      </c>
      <c r="H3" s="152"/>
      <c r="I3" s="11">
        <f>D101</f>
        <v>54.5</v>
      </c>
      <c r="J3" s="12" t="s">
        <v>8</v>
      </c>
      <c r="K3" s="10">
        <f>E3/I3</f>
        <v>28.478593272171253</v>
      </c>
      <c r="L3" s="12" t="s">
        <v>9</v>
      </c>
      <c r="M3" s="13">
        <v>43649</v>
      </c>
      <c r="N3"/>
    </row>
    <row r="4" spans="1:19" s="4" customFormat="1" ht="19.5" customHeight="1">
      <c r="A4" s="14"/>
      <c r="B4" s="15" t="s">
        <v>10</v>
      </c>
      <c r="C4" s="16">
        <f>M87</f>
        <v>6.4099999999999993</v>
      </c>
      <c r="D4" s="17" t="s">
        <v>11</v>
      </c>
      <c r="E4" s="18">
        <f>E3*0.75</f>
        <v>1164.0625</v>
      </c>
      <c r="F4" s="19">
        <f>E4/8</f>
        <v>145.5078125</v>
      </c>
      <c r="G4" s="141" t="s">
        <v>12</v>
      </c>
      <c r="H4" s="141"/>
      <c r="I4" s="20">
        <f>K87</f>
        <v>20</v>
      </c>
      <c r="J4" s="21" t="s">
        <v>13</v>
      </c>
      <c r="K4" s="22">
        <f>I5/I3</f>
        <v>1.3669724770642202</v>
      </c>
      <c r="L4" s="21" t="s">
        <v>14</v>
      </c>
      <c r="M4" s="23" t="s">
        <v>15</v>
      </c>
      <c r="N4"/>
    </row>
    <row r="5" spans="1:19" s="4" customFormat="1" ht="20.25" customHeight="1" thickBot="1">
      <c r="A5" s="24"/>
      <c r="B5" s="25" t="s">
        <v>16</v>
      </c>
      <c r="C5" s="26">
        <f>C3+C4</f>
        <v>23.040000000000003</v>
      </c>
      <c r="D5" s="27" t="s">
        <v>17</v>
      </c>
      <c r="E5" s="28">
        <f>E3*0.7</f>
        <v>1086.4583333333333</v>
      </c>
      <c r="F5" s="29">
        <f>E5/8</f>
        <v>135.80729166666666</v>
      </c>
      <c r="G5" s="164" t="s">
        <v>18</v>
      </c>
      <c r="H5" s="164"/>
      <c r="I5" s="30">
        <f>J65</f>
        <v>74.5</v>
      </c>
      <c r="J5" s="31" t="s">
        <v>19</v>
      </c>
      <c r="K5" s="32"/>
      <c r="L5" s="31" t="s">
        <v>20</v>
      </c>
      <c r="M5" s="33"/>
      <c r="N5"/>
    </row>
    <row r="6" spans="1:19" s="36" customFormat="1" ht="20.25" customHeight="1">
      <c r="A6" s="165" t="s">
        <v>21</v>
      </c>
      <c r="B6" s="155" t="s">
        <v>22</v>
      </c>
      <c r="C6" s="155"/>
      <c r="D6" s="155" t="s">
        <v>23</v>
      </c>
      <c r="E6" s="155" t="s">
        <v>24</v>
      </c>
      <c r="F6" s="167" t="s">
        <v>25</v>
      </c>
      <c r="G6" s="34"/>
      <c r="H6" s="35" t="s">
        <v>26</v>
      </c>
      <c r="I6" s="153" t="s">
        <v>27</v>
      </c>
      <c r="J6" s="155" t="s">
        <v>28</v>
      </c>
      <c r="K6" s="35" t="s">
        <v>29</v>
      </c>
      <c r="L6" s="157" t="s">
        <v>30</v>
      </c>
      <c r="M6" s="159" t="s">
        <v>31</v>
      </c>
      <c r="N6"/>
    </row>
    <row r="7" spans="1:19" s="36" customFormat="1" ht="15.75" thickBot="1">
      <c r="A7" s="166"/>
      <c r="B7" s="156"/>
      <c r="C7" s="156"/>
      <c r="D7" s="156"/>
      <c r="E7" s="156"/>
      <c r="F7" s="168"/>
      <c r="G7" s="37" t="s">
        <v>32</v>
      </c>
      <c r="H7" s="38">
        <f>E3</f>
        <v>1552.0833333333333</v>
      </c>
      <c r="I7" s="154"/>
      <c r="J7" s="156"/>
      <c r="K7" s="37" t="s">
        <v>33</v>
      </c>
      <c r="L7" s="158"/>
      <c r="M7" s="160"/>
      <c r="N7"/>
      <c r="S7" s="39"/>
    </row>
    <row r="8" spans="1:19">
      <c r="A8" s="40"/>
      <c r="B8" s="161" t="s">
        <v>34</v>
      </c>
      <c r="C8" s="161"/>
      <c r="D8" s="35"/>
      <c r="E8" s="41"/>
      <c r="F8" s="42"/>
      <c r="G8" s="43"/>
      <c r="H8" s="44"/>
      <c r="I8" s="45"/>
      <c r="J8" s="43"/>
      <c r="K8" s="43"/>
      <c r="L8" s="46"/>
      <c r="M8" s="47"/>
      <c r="Q8" s="36"/>
    </row>
    <row r="9" spans="1:19">
      <c r="A9" s="48">
        <v>1</v>
      </c>
      <c r="B9" s="162" t="s">
        <v>35</v>
      </c>
      <c r="C9" s="163"/>
      <c r="D9" s="49" t="s">
        <v>36</v>
      </c>
      <c r="E9" s="50">
        <v>0.3</v>
      </c>
      <c r="F9" s="51">
        <f t="shared" ref="F9:F16" si="0">E9*60</f>
        <v>18</v>
      </c>
      <c r="G9" s="52">
        <f>60/E9</f>
        <v>200</v>
      </c>
      <c r="H9" s="53">
        <f>$E$3*E9/480</f>
        <v>0.97005208333333326</v>
      </c>
      <c r="I9" s="53">
        <v>1</v>
      </c>
      <c r="J9" s="54">
        <v>1</v>
      </c>
      <c r="K9" s="55">
        <f>G9*J9</f>
        <v>200</v>
      </c>
      <c r="L9" s="56">
        <f t="shared" ref="L9:L15" si="1">$F$3/K9</f>
        <v>0.97005208333333326</v>
      </c>
      <c r="M9" s="57"/>
    </row>
    <row r="10" spans="1:19">
      <c r="A10" s="48">
        <f t="shared" ref="A10:A16" si="2">A9+1</f>
        <v>2</v>
      </c>
      <c r="B10" s="162" t="s">
        <v>37</v>
      </c>
      <c r="C10" s="163"/>
      <c r="D10" s="49" t="s">
        <v>38</v>
      </c>
      <c r="E10" s="50">
        <v>0.38</v>
      </c>
      <c r="F10" s="51">
        <f t="shared" si="0"/>
        <v>22.8</v>
      </c>
      <c r="G10" s="52">
        <f t="shared" ref="G10:G16" si="3">60/E10</f>
        <v>157.89473684210526</v>
      </c>
      <c r="H10" s="53">
        <f t="shared" ref="H10:H16" si="4">$E$3*E10/480</f>
        <v>1.2287326388888888</v>
      </c>
      <c r="I10" s="58">
        <v>2</v>
      </c>
      <c r="J10" s="54">
        <v>1.5</v>
      </c>
      <c r="K10" s="52">
        <f t="shared" ref="K10:K16" si="5">G10*J10</f>
        <v>236.84210526315789</v>
      </c>
      <c r="L10" s="56">
        <f t="shared" si="1"/>
        <v>0.81915509259259256</v>
      </c>
      <c r="M10" s="59"/>
    </row>
    <row r="11" spans="1:19">
      <c r="A11" s="48">
        <f t="shared" si="2"/>
        <v>3</v>
      </c>
      <c r="B11" s="162" t="s">
        <v>39</v>
      </c>
      <c r="C11" s="163"/>
      <c r="D11" s="49" t="s">
        <v>40</v>
      </c>
      <c r="E11" s="50">
        <v>0.3</v>
      </c>
      <c r="F11" s="51">
        <f t="shared" si="0"/>
        <v>18</v>
      </c>
      <c r="G11" s="52">
        <f t="shared" si="3"/>
        <v>200</v>
      </c>
      <c r="H11" s="53">
        <f t="shared" si="4"/>
        <v>0.97005208333333326</v>
      </c>
      <c r="I11" s="53">
        <v>1</v>
      </c>
      <c r="J11" s="54">
        <v>1</v>
      </c>
      <c r="K11" s="55">
        <f t="shared" si="5"/>
        <v>200</v>
      </c>
      <c r="L11" s="56">
        <f t="shared" si="1"/>
        <v>0.97005208333333326</v>
      </c>
      <c r="M11" s="60"/>
    </row>
    <row r="12" spans="1:19">
      <c r="A12" s="48">
        <f t="shared" si="2"/>
        <v>4</v>
      </c>
      <c r="B12" s="162" t="s">
        <v>41</v>
      </c>
      <c r="C12" s="163"/>
      <c r="D12" s="49" t="s">
        <v>42</v>
      </c>
      <c r="E12" s="50">
        <v>0.32</v>
      </c>
      <c r="F12" s="51">
        <f t="shared" si="0"/>
        <v>19.2</v>
      </c>
      <c r="G12" s="52">
        <f t="shared" si="3"/>
        <v>187.5</v>
      </c>
      <c r="H12" s="53">
        <f t="shared" si="4"/>
        <v>1.0347222222222221</v>
      </c>
      <c r="I12" s="58">
        <v>1</v>
      </c>
      <c r="J12" s="54">
        <v>1</v>
      </c>
      <c r="K12" s="52">
        <f t="shared" si="5"/>
        <v>187.5</v>
      </c>
      <c r="L12" s="56">
        <f t="shared" si="1"/>
        <v>1.0347222222222221</v>
      </c>
      <c r="M12" s="59"/>
      <c r="Q12" s="36"/>
    </row>
    <row r="13" spans="1:19">
      <c r="A13" s="48">
        <f t="shared" si="2"/>
        <v>5</v>
      </c>
      <c r="B13" s="162" t="s">
        <v>43</v>
      </c>
      <c r="C13" s="163"/>
      <c r="D13" s="49" t="s">
        <v>38</v>
      </c>
      <c r="E13" s="50">
        <v>0.2</v>
      </c>
      <c r="F13" s="51">
        <f t="shared" si="0"/>
        <v>12</v>
      </c>
      <c r="G13" s="52">
        <f t="shared" si="3"/>
        <v>300</v>
      </c>
      <c r="H13" s="53">
        <f t="shared" si="4"/>
        <v>0.64670138888888895</v>
      </c>
      <c r="I13" s="53">
        <v>1</v>
      </c>
      <c r="J13" s="54">
        <v>0.5</v>
      </c>
      <c r="K13" s="55">
        <f t="shared" si="5"/>
        <v>150</v>
      </c>
      <c r="L13" s="56">
        <f t="shared" si="1"/>
        <v>1.2934027777777777</v>
      </c>
      <c r="M13" s="60"/>
    </row>
    <row r="14" spans="1:19">
      <c r="A14" s="48">
        <f t="shared" si="2"/>
        <v>6</v>
      </c>
      <c r="B14" s="162" t="s">
        <v>44</v>
      </c>
      <c r="C14" s="163"/>
      <c r="D14" s="49" t="s">
        <v>45</v>
      </c>
      <c r="E14" s="50">
        <v>0.18</v>
      </c>
      <c r="F14" s="51">
        <f t="shared" si="0"/>
        <v>10.799999999999999</v>
      </c>
      <c r="G14" s="52">
        <f t="shared" si="3"/>
        <v>333.33333333333337</v>
      </c>
      <c r="H14" s="53">
        <f t="shared" si="4"/>
        <v>0.58203125</v>
      </c>
      <c r="I14" s="58">
        <v>1</v>
      </c>
      <c r="J14" s="54">
        <v>0.5</v>
      </c>
      <c r="K14" s="55">
        <f t="shared" si="5"/>
        <v>166.66666666666669</v>
      </c>
      <c r="L14" s="56">
        <f t="shared" si="1"/>
        <v>1.1640624999999998</v>
      </c>
      <c r="M14" s="60"/>
    </row>
    <row r="15" spans="1:19">
      <c r="A15" s="48">
        <f t="shared" si="2"/>
        <v>7</v>
      </c>
      <c r="B15" s="162" t="s">
        <v>46</v>
      </c>
      <c r="C15" s="163"/>
      <c r="D15" s="49" t="s">
        <v>47</v>
      </c>
      <c r="E15" s="50">
        <v>0.18</v>
      </c>
      <c r="F15" s="51">
        <f t="shared" si="0"/>
        <v>10.799999999999999</v>
      </c>
      <c r="G15" s="52">
        <f t="shared" si="3"/>
        <v>333.33333333333337</v>
      </c>
      <c r="H15" s="53">
        <f t="shared" si="4"/>
        <v>0.58203125</v>
      </c>
      <c r="I15" s="58">
        <v>1</v>
      </c>
      <c r="J15" s="54">
        <v>0.5</v>
      </c>
      <c r="K15" s="55">
        <f t="shared" si="5"/>
        <v>166.66666666666669</v>
      </c>
      <c r="L15" s="56">
        <f t="shared" si="1"/>
        <v>1.1640624999999998</v>
      </c>
      <c r="M15" s="60"/>
    </row>
    <row r="16" spans="1:19">
      <c r="A16" s="48">
        <f t="shared" si="2"/>
        <v>8</v>
      </c>
      <c r="B16" s="170" t="s">
        <v>48</v>
      </c>
      <c r="C16" s="171" t="s">
        <v>49</v>
      </c>
      <c r="D16" s="49" t="s">
        <v>50</v>
      </c>
      <c r="E16" s="50">
        <v>0.35</v>
      </c>
      <c r="F16" s="51">
        <f t="shared" si="0"/>
        <v>21</v>
      </c>
      <c r="G16" s="52">
        <f t="shared" si="3"/>
        <v>171.42857142857144</v>
      </c>
      <c r="H16" s="53">
        <f t="shared" si="4"/>
        <v>1.1317274305555556</v>
      </c>
      <c r="I16" s="53">
        <v>1</v>
      </c>
      <c r="J16" s="54">
        <v>1</v>
      </c>
      <c r="K16" s="55">
        <f t="shared" si="5"/>
        <v>171.42857142857144</v>
      </c>
      <c r="L16" s="56">
        <f>$F$3/K16</f>
        <v>1.1317274305555554</v>
      </c>
      <c r="M16" s="60"/>
    </row>
    <row r="17" spans="1:17">
      <c r="A17" s="61"/>
      <c r="B17" s="172" t="s">
        <v>51</v>
      </c>
      <c r="C17" s="173"/>
      <c r="D17" s="62"/>
      <c r="E17" s="63"/>
      <c r="F17" s="64"/>
      <c r="G17" s="52"/>
      <c r="H17" s="53"/>
      <c r="I17" s="53"/>
      <c r="J17" s="54"/>
      <c r="K17" s="55"/>
      <c r="L17" s="56"/>
      <c r="M17" s="57"/>
    </row>
    <row r="18" spans="1:17">
      <c r="A18" s="48">
        <f>A16+1</f>
        <v>9</v>
      </c>
      <c r="B18" s="162" t="s">
        <v>111</v>
      </c>
      <c r="C18" s="169"/>
      <c r="D18" s="62" t="s">
        <v>96</v>
      </c>
      <c r="E18" s="65">
        <v>0.32</v>
      </c>
      <c r="F18" s="51">
        <f>E18*60</f>
        <v>19.2</v>
      </c>
      <c r="G18" s="52">
        <f>60/E18</f>
        <v>187.5</v>
      </c>
      <c r="H18" s="53">
        <f>$E$3*E18/480</f>
        <v>1.0347222222222221</v>
      </c>
      <c r="I18" s="66">
        <v>1</v>
      </c>
      <c r="J18" s="67">
        <v>1</v>
      </c>
      <c r="K18" s="68">
        <f t="shared" ref="K18:K27" si="6">G18*J18</f>
        <v>187.5</v>
      </c>
      <c r="L18" s="56">
        <f>$F$3/K18</f>
        <v>1.0347222222222221</v>
      </c>
      <c r="M18" s="57"/>
    </row>
    <row r="19" spans="1:17">
      <c r="A19" s="48">
        <f>A18+1</f>
        <v>10</v>
      </c>
      <c r="B19" s="174" t="s">
        <v>116</v>
      </c>
      <c r="C19" s="174"/>
      <c r="D19" s="49" t="s">
        <v>45</v>
      </c>
      <c r="E19" s="65">
        <v>0.5</v>
      </c>
      <c r="F19" s="51">
        <f>E19*60</f>
        <v>30</v>
      </c>
      <c r="G19" s="52">
        <f>60/E19</f>
        <v>120</v>
      </c>
      <c r="H19" s="53">
        <f>$E$3*E19/480</f>
        <v>1.6167534722222221</v>
      </c>
      <c r="I19" s="66">
        <v>1</v>
      </c>
      <c r="J19" s="67">
        <v>2</v>
      </c>
      <c r="K19" s="68">
        <f t="shared" si="6"/>
        <v>240</v>
      </c>
      <c r="L19" s="56">
        <f>$F$3/K19</f>
        <v>0.80837673611111105</v>
      </c>
      <c r="M19" s="57"/>
    </row>
    <row r="20" spans="1:17">
      <c r="A20" s="48">
        <f t="shared" ref="A20:A27" si="7">A19+1</f>
        <v>11</v>
      </c>
      <c r="B20" s="162" t="s">
        <v>114</v>
      </c>
      <c r="C20" s="163"/>
      <c r="D20" s="49" t="s">
        <v>42</v>
      </c>
      <c r="E20" s="50">
        <v>0.3</v>
      </c>
      <c r="F20" s="51">
        <f t="shared" ref="F20:F27" si="8">E20*60</f>
        <v>18</v>
      </c>
      <c r="G20" s="52">
        <f t="shared" ref="G20:G27" si="9">60/E20</f>
        <v>200</v>
      </c>
      <c r="H20" s="53">
        <f t="shared" ref="H20:H27" si="10">$E$3*E20/480</f>
        <v>0.97005208333333326</v>
      </c>
      <c r="I20" s="58">
        <v>1</v>
      </c>
      <c r="J20" s="54">
        <v>1</v>
      </c>
      <c r="K20" s="52">
        <f t="shared" si="6"/>
        <v>200</v>
      </c>
      <c r="L20" s="56">
        <f t="shared" ref="L20:L27" si="11">$F$3/K20</f>
        <v>0.97005208333333326</v>
      </c>
      <c r="M20" s="59"/>
      <c r="Q20" s="36"/>
    </row>
    <row r="21" spans="1:17">
      <c r="A21" s="48">
        <f t="shared" si="7"/>
        <v>12</v>
      </c>
      <c r="B21" s="162" t="s">
        <v>112</v>
      </c>
      <c r="C21" s="163"/>
      <c r="D21" s="49" t="s">
        <v>36</v>
      </c>
      <c r="E21" s="50">
        <v>0.3</v>
      </c>
      <c r="F21" s="51">
        <f t="shared" ref="F21:F25" si="12">E21*60</f>
        <v>18</v>
      </c>
      <c r="G21" s="52">
        <f t="shared" ref="G21:G25" si="13">60/E21</f>
        <v>200</v>
      </c>
      <c r="H21" s="53">
        <f t="shared" ref="H21:H25" si="14">$E$3*E21/480</f>
        <v>0.97005208333333326</v>
      </c>
      <c r="I21" s="58">
        <v>1</v>
      </c>
      <c r="J21" s="54">
        <v>1</v>
      </c>
      <c r="K21" s="52">
        <f t="shared" ref="K21:K25" si="15">G21*J21</f>
        <v>200</v>
      </c>
      <c r="L21" s="56">
        <f t="shared" ref="L21:L25" si="16">$F$3/K21</f>
        <v>0.97005208333333326</v>
      </c>
      <c r="M21" s="59"/>
      <c r="Q21" s="36"/>
    </row>
    <row r="22" spans="1:17">
      <c r="A22" s="48">
        <f t="shared" si="7"/>
        <v>13</v>
      </c>
      <c r="B22" s="162" t="s">
        <v>113</v>
      </c>
      <c r="C22" s="163"/>
      <c r="D22" s="49" t="s">
        <v>42</v>
      </c>
      <c r="E22" s="50">
        <v>0.3</v>
      </c>
      <c r="F22" s="51">
        <f t="shared" ref="F22:F24" si="17">E22*60</f>
        <v>18</v>
      </c>
      <c r="G22" s="52">
        <f t="shared" ref="G22:G24" si="18">60/E22</f>
        <v>200</v>
      </c>
      <c r="H22" s="53">
        <f t="shared" ref="H22:H24" si="19">$E$3*E22/480</f>
        <v>0.97005208333333326</v>
      </c>
      <c r="I22" s="58">
        <v>1</v>
      </c>
      <c r="J22" s="54">
        <v>1</v>
      </c>
      <c r="K22" s="52">
        <f t="shared" ref="K22:K24" si="20">G22*J22</f>
        <v>200</v>
      </c>
      <c r="L22" s="56">
        <f t="shared" ref="L22:L24" si="21">$F$3/K22</f>
        <v>0.97005208333333326</v>
      </c>
      <c r="M22" s="59"/>
      <c r="Q22" s="36"/>
    </row>
    <row r="23" spans="1:17">
      <c r="A23" s="48">
        <f t="shared" si="7"/>
        <v>14</v>
      </c>
      <c r="B23" s="162" t="s">
        <v>117</v>
      </c>
      <c r="C23" s="163"/>
      <c r="D23" s="49" t="s">
        <v>42</v>
      </c>
      <c r="E23" s="50">
        <v>0.55000000000000004</v>
      </c>
      <c r="F23" s="51">
        <f t="shared" si="17"/>
        <v>33</v>
      </c>
      <c r="G23" s="52">
        <f t="shared" si="18"/>
        <v>109.09090909090908</v>
      </c>
      <c r="H23" s="53">
        <f t="shared" si="19"/>
        <v>1.7784288194444444</v>
      </c>
      <c r="I23" s="58">
        <v>2</v>
      </c>
      <c r="J23" s="54">
        <v>2</v>
      </c>
      <c r="K23" s="52">
        <f t="shared" si="20"/>
        <v>218.18181818181816</v>
      </c>
      <c r="L23" s="56">
        <f t="shared" si="21"/>
        <v>0.88921440972222232</v>
      </c>
      <c r="M23" s="59"/>
      <c r="Q23" s="36"/>
    </row>
    <row r="24" spans="1:17">
      <c r="A24" s="48">
        <f t="shared" si="7"/>
        <v>15</v>
      </c>
      <c r="B24" s="175" t="s">
        <v>115</v>
      </c>
      <c r="C24" s="176"/>
      <c r="D24" s="62" t="s">
        <v>42</v>
      </c>
      <c r="E24" s="50">
        <v>0.5</v>
      </c>
      <c r="F24" s="51">
        <f t="shared" si="17"/>
        <v>30</v>
      </c>
      <c r="G24" s="52">
        <f t="shared" si="18"/>
        <v>120</v>
      </c>
      <c r="H24" s="53">
        <f t="shared" si="19"/>
        <v>1.6167534722222221</v>
      </c>
      <c r="I24" s="53">
        <v>2</v>
      </c>
      <c r="J24" s="54">
        <v>2</v>
      </c>
      <c r="K24" s="55">
        <f t="shared" si="20"/>
        <v>240</v>
      </c>
      <c r="L24" s="56">
        <f t="shared" si="21"/>
        <v>0.80837673611111105</v>
      </c>
      <c r="M24" s="60"/>
    </row>
    <row r="25" spans="1:17">
      <c r="A25" s="48">
        <f t="shared" si="7"/>
        <v>16</v>
      </c>
      <c r="B25" s="162" t="s">
        <v>54</v>
      </c>
      <c r="C25" s="163"/>
      <c r="D25" s="49" t="s">
        <v>42</v>
      </c>
      <c r="E25" s="50">
        <v>0.3</v>
      </c>
      <c r="F25" s="51">
        <f t="shared" si="12"/>
        <v>18</v>
      </c>
      <c r="G25" s="52">
        <f t="shared" si="13"/>
        <v>200</v>
      </c>
      <c r="H25" s="53">
        <f t="shared" si="14"/>
        <v>0.97005208333333326</v>
      </c>
      <c r="I25" s="58">
        <v>1</v>
      </c>
      <c r="J25" s="54">
        <v>1</v>
      </c>
      <c r="K25" s="52">
        <f t="shared" si="15"/>
        <v>200</v>
      </c>
      <c r="L25" s="56">
        <f t="shared" si="16"/>
        <v>0.97005208333333326</v>
      </c>
      <c r="M25" s="59"/>
      <c r="Q25" s="36"/>
    </row>
    <row r="26" spans="1:17">
      <c r="A26" s="48">
        <f t="shared" si="7"/>
        <v>17</v>
      </c>
      <c r="B26" s="162" t="s">
        <v>55</v>
      </c>
      <c r="C26" s="163"/>
      <c r="D26" s="49" t="s">
        <v>36</v>
      </c>
      <c r="E26" s="50">
        <v>0.25</v>
      </c>
      <c r="F26" s="51">
        <f t="shared" si="8"/>
        <v>15</v>
      </c>
      <c r="G26" s="52">
        <f t="shared" si="9"/>
        <v>240</v>
      </c>
      <c r="H26" s="53">
        <f t="shared" si="10"/>
        <v>0.80837673611111105</v>
      </c>
      <c r="I26" s="58">
        <v>1</v>
      </c>
      <c r="J26" s="54">
        <v>1</v>
      </c>
      <c r="K26" s="52">
        <f t="shared" si="6"/>
        <v>240</v>
      </c>
      <c r="L26" s="56">
        <f t="shared" si="11"/>
        <v>0.80837673611111105</v>
      </c>
      <c r="M26" s="59"/>
      <c r="Q26" s="36"/>
    </row>
    <row r="27" spans="1:17">
      <c r="A27" s="48">
        <f t="shared" si="7"/>
        <v>18</v>
      </c>
      <c r="B27" s="175" t="s">
        <v>72</v>
      </c>
      <c r="C27" s="176"/>
      <c r="D27" s="62" t="s">
        <v>42</v>
      </c>
      <c r="E27" s="50">
        <v>0.9</v>
      </c>
      <c r="F27" s="51">
        <f t="shared" si="8"/>
        <v>54</v>
      </c>
      <c r="G27" s="52">
        <f t="shared" si="9"/>
        <v>66.666666666666671</v>
      </c>
      <c r="H27" s="53">
        <f t="shared" si="10"/>
        <v>2.91015625</v>
      </c>
      <c r="I27" s="53">
        <v>3</v>
      </c>
      <c r="J27" s="54">
        <v>3</v>
      </c>
      <c r="K27" s="55">
        <f t="shared" si="6"/>
        <v>200</v>
      </c>
      <c r="L27" s="56">
        <f t="shared" si="11"/>
        <v>0.97005208333333326</v>
      </c>
      <c r="M27" s="60"/>
    </row>
    <row r="28" spans="1:17">
      <c r="A28" s="48"/>
      <c r="B28" s="177" t="s">
        <v>56</v>
      </c>
      <c r="C28" s="178"/>
      <c r="D28" s="49"/>
      <c r="E28" s="50"/>
      <c r="F28" s="51"/>
      <c r="G28" s="52"/>
      <c r="H28" s="53"/>
      <c r="I28" s="58"/>
      <c r="J28" s="54"/>
      <c r="K28" s="55"/>
      <c r="L28" s="56"/>
      <c r="M28" s="60"/>
    </row>
    <row r="29" spans="1:17">
      <c r="A29" s="48">
        <f>A27+1</f>
        <v>19</v>
      </c>
      <c r="B29" s="179" t="s">
        <v>57</v>
      </c>
      <c r="C29" s="180"/>
      <c r="D29" s="49" t="s">
        <v>42</v>
      </c>
      <c r="E29" s="50">
        <v>0.4</v>
      </c>
      <c r="F29" s="51">
        <f t="shared" ref="F29" si="22">E29*60</f>
        <v>24</v>
      </c>
      <c r="G29" s="52">
        <f t="shared" ref="G29" si="23">60/E29</f>
        <v>150</v>
      </c>
      <c r="H29" s="53">
        <f t="shared" ref="H29" si="24">$E$3*E29/480</f>
        <v>1.2934027777777779</v>
      </c>
      <c r="I29" s="58">
        <v>1</v>
      </c>
      <c r="J29" s="54">
        <v>1</v>
      </c>
      <c r="K29" s="52">
        <f t="shared" ref="K29:K34" si="25">G29*J29</f>
        <v>150</v>
      </c>
      <c r="L29" s="56">
        <f t="shared" ref="L29" si="26">$F$3/K29</f>
        <v>1.2934027777777777</v>
      </c>
      <c r="M29" s="59"/>
      <c r="Q29" s="36"/>
    </row>
    <row r="30" spans="1:17">
      <c r="A30" s="48">
        <f>A29+1</f>
        <v>20</v>
      </c>
      <c r="B30" s="162" t="s">
        <v>58</v>
      </c>
      <c r="C30" s="169"/>
      <c r="D30" s="62" t="s">
        <v>42</v>
      </c>
      <c r="E30" s="65">
        <v>0.3</v>
      </c>
      <c r="F30" s="51">
        <f>E30*60</f>
        <v>18</v>
      </c>
      <c r="G30" s="52">
        <f>60/E30</f>
        <v>200</v>
      </c>
      <c r="H30" s="53">
        <f>$E$3*E30/480</f>
        <v>0.97005208333333326</v>
      </c>
      <c r="I30" s="66">
        <v>1</v>
      </c>
      <c r="J30" s="67">
        <v>1</v>
      </c>
      <c r="K30" s="68">
        <f t="shared" si="25"/>
        <v>200</v>
      </c>
      <c r="L30" s="56">
        <f>$F$3/K30</f>
        <v>0.97005208333333326</v>
      </c>
      <c r="M30" s="57"/>
    </row>
    <row r="31" spans="1:17">
      <c r="A31" s="48">
        <f t="shared" ref="A31:A34" si="27">A30+1</f>
        <v>21</v>
      </c>
      <c r="B31" s="162" t="s">
        <v>59</v>
      </c>
      <c r="C31" s="163"/>
      <c r="D31" s="62" t="s">
        <v>42</v>
      </c>
      <c r="E31" s="50">
        <v>0.39</v>
      </c>
      <c r="F31" s="51">
        <f t="shared" ref="F31:F32" si="28">E31*60</f>
        <v>23.400000000000002</v>
      </c>
      <c r="G31" s="52">
        <f t="shared" ref="G31:G32" si="29">60/E31</f>
        <v>153.84615384615384</v>
      </c>
      <c r="H31" s="53">
        <f t="shared" ref="H31:H32" si="30">$E$3*E31/480</f>
        <v>1.2610677083333333</v>
      </c>
      <c r="I31" s="58">
        <v>1</v>
      </c>
      <c r="J31" s="54">
        <v>1</v>
      </c>
      <c r="K31" s="55">
        <f t="shared" si="25"/>
        <v>153.84615384615384</v>
      </c>
      <c r="L31" s="56">
        <f t="shared" ref="L31:L32" si="31">$F$3/K31</f>
        <v>1.2610677083333333</v>
      </c>
      <c r="M31" s="60"/>
    </row>
    <row r="32" spans="1:17">
      <c r="A32" s="48">
        <f t="shared" si="27"/>
        <v>22</v>
      </c>
      <c r="B32" s="162" t="s">
        <v>60</v>
      </c>
      <c r="C32" s="163"/>
      <c r="D32" s="62" t="s">
        <v>42</v>
      </c>
      <c r="E32" s="50">
        <v>0.5</v>
      </c>
      <c r="F32" s="51">
        <f t="shared" si="28"/>
        <v>30</v>
      </c>
      <c r="G32" s="52">
        <f t="shared" si="29"/>
        <v>120</v>
      </c>
      <c r="H32" s="53">
        <f t="shared" si="30"/>
        <v>1.6167534722222221</v>
      </c>
      <c r="I32" s="58">
        <v>2</v>
      </c>
      <c r="J32" s="54">
        <v>1.5</v>
      </c>
      <c r="K32" s="55">
        <f t="shared" si="25"/>
        <v>180</v>
      </c>
      <c r="L32" s="56">
        <f t="shared" si="31"/>
        <v>1.0778356481481481</v>
      </c>
      <c r="M32" s="60"/>
    </row>
    <row r="33" spans="1:13">
      <c r="A33" s="48">
        <f t="shared" si="27"/>
        <v>23</v>
      </c>
      <c r="B33" s="162" t="s">
        <v>61</v>
      </c>
      <c r="C33" s="169"/>
      <c r="D33" s="49" t="s">
        <v>38</v>
      </c>
      <c r="E33" s="65">
        <v>0.3</v>
      </c>
      <c r="F33" s="51">
        <f>E33*60</f>
        <v>18</v>
      </c>
      <c r="G33" s="52">
        <f>60/E33</f>
        <v>200</v>
      </c>
      <c r="H33" s="53">
        <f>$E$3*E33/480</f>
        <v>0.97005208333333326</v>
      </c>
      <c r="I33" s="66">
        <v>1</v>
      </c>
      <c r="J33" s="67">
        <v>1</v>
      </c>
      <c r="K33" s="68">
        <f t="shared" si="25"/>
        <v>200</v>
      </c>
      <c r="L33" s="56">
        <f>$F$3/K33</f>
        <v>0.97005208333333326</v>
      </c>
      <c r="M33" s="57"/>
    </row>
    <row r="34" spans="1:13">
      <c r="A34" s="48">
        <f t="shared" si="27"/>
        <v>24</v>
      </c>
      <c r="B34" s="181" t="s">
        <v>49</v>
      </c>
      <c r="C34" s="182" t="s">
        <v>49</v>
      </c>
      <c r="D34" s="49" t="s">
        <v>50</v>
      </c>
      <c r="E34" s="50">
        <v>0.4</v>
      </c>
      <c r="F34" s="51">
        <f t="shared" ref="F34" si="32">E34*60</f>
        <v>24</v>
      </c>
      <c r="G34" s="52">
        <f t="shared" ref="G34" si="33">60/E34</f>
        <v>150</v>
      </c>
      <c r="H34" s="53">
        <f t="shared" ref="H34" si="34">$E$3*E34/480</f>
        <v>1.2934027777777779</v>
      </c>
      <c r="I34" s="53">
        <v>1</v>
      </c>
      <c r="J34" s="54">
        <v>1</v>
      </c>
      <c r="K34" s="55">
        <f t="shared" si="25"/>
        <v>150</v>
      </c>
      <c r="L34" s="56">
        <f t="shared" ref="L34" si="35">$F$3/K34</f>
        <v>1.2934027777777777</v>
      </c>
      <c r="M34" s="60"/>
    </row>
    <row r="35" spans="1:13">
      <c r="A35" s="61"/>
      <c r="B35" s="172" t="s">
        <v>62</v>
      </c>
      <c r="C35" s="173"/>
      <c r="D35" s="62"/>
      <c r="E35" s="50"/>
      <c r="F35" s="64"/>
      <c r="G35" s="52"/>
      <c r="H35" s="53"/>
      <c r="I35" s="53"/>
      <c r="J35" s="54"/>
      <c r="K35" s="55"/>
      <c r="L35" s="56"/>
      <c r="M35" s="57"/>
    </row>
    <row r="36" spans="1:13">
      <c r="A36" s="61">
        <f>A34+1</f>
        <v>25</v>
      </c>
      <c r="B36" s="183" t="s">
        <v>63</v>
      </c>
      <c r="C36" s="184"/>
      <c r="D36" s="62" t="s">
        <v>42</v>
      </c>
      <c r="E36" s="65">
        <v>0.75</v>
      </c>
      <c r="F36" s="51">
        <f t="shared" ref="F36:F54" si="36">E36*60</f>
        <v>45</v>
      </c>
      <c r="G36" s="52">
        <f t="shared" ref="G36:G54" si="37">60/E36</f>
        <v>80</v>
      </c>
      <c r="H36" s="53">
        <f t="shared" ref="H36:H54" si="38">$E$3*E36/480</f>
        <v>2.4251302083333335</v>
      </c>
      <c r="I36" s="66">
        <v>2</v>
      </c>
      <c r="J36" s="67">
        <v>2</v>
      </c>
      <c r="K36" s="68">
        <f t="shared" ref="K36:K64" si="39">G36*J36</f>
        <v>160</v>
      </c>
      <c r="L36" s="56">
        <f t="shared" ref="L36:L54" si="40">$F$3/K36</f>
        <v>1.2125651041666665</v>
      </c>
      <c r="M36" s="57"/>
    </row>
    <row r="37" spans="1:13">
      <c r="A37" s="61">
        <f>A36+1</f>
        <v>26</v>
      </c>
      <c r="B37" s="185" t="s">
        <v>64</v>
      </c>
      <c r="C37" s="169"/>
      <c r="D37" s="62" t="s">
        <v>42</v>
      </c>
      <c r="E37" s="50">
        <v>0.5</v>
      </c>
      <c r="F37" s="51">
        <f t="shared" si="36"/>
        <v>30</v>
      </c>
      <c r="G37" s="52">
        <f t="shared" si="37"/>
        <v>120</v>
      </c>
      <c r="H37" s="53">
        <f t="shared" si="38"/>
        <v>1.6167534722222221</v>
      </c>
      <c r="I37" s="58">
        <v>2</v>
      </c>
      <c r="J37" s="54">
        <v>2</v>
      </c>
      <c r="K37" s="55">
        <f t="shared" si="39"/>
        <v>240</v>
      </c>
      <c r="L37" s="56">
        <f t="shared" si="40"/>
        <v>0.80837673611111105</v>
      </c>
      <c r="M37" s="59"/>
    </row>
    <row r="38" spans="1:13">
      <c r="A38" s="61">
        <f t="shared" ref="A38:A64" si="41">A37+1</f>
        <v>27</v>
      </c>
      <c r="B38" s="185" t="s">
        <v>65</v>
      </c>
      <c r="C38" s="169"/>
      <c r="D38" s="62" t="s">
        <v>42</v>
      </c>
      <c r="E38" s="50">
        <v>0.3</v>
      </c>
      <c r="F38" s="51">
        <f t="shared" si="36"/>
        <v>18</v>
      </c>
      <c r="G38" s="52">
        <f t="shared" si="37"/>
        <v>200</v>
      </c>
      <c r="H38" s="53">
        <f t="shared" si="38"/>
        <v>0.97005208333333326</v>
      </c>
      <c r="I38" s="58">
        <v>1</v>
      </c>
      <c r="J38" s="54">
        <v>1</v>
      </c>
      <c r="K38" s="55">
        <f t="shared" si="39"/>
        <v>200</v>
      </c>
      <c r="L38" s="56">
        <f t="shared" si="40"/>
        <v>0.97005208333333326</v>
      </c>
      <c r="M38" s="59"/>
    </row>
    <row r="39" spans="1:13">
      <c r="A39" s="61">
        <f t="shared" si="41"/>
        <v>28</v>
      </c>
      <c r="B39" s="185" t="s">
        <v>118</v>
      </c>
      <c r="C39" s="169"/>
      <c r="D39" s="62" t="s">
        <v>42</v>
      </c>
      <c r="E39" s="50">
        <v>0.55000000000000004</v>
      </c>
      <c r="F39" s="51">
        <f t="shared" ref="F39:F42" si="42">E39*60</f>
        <v>33</v>
      </c>
      <c r="G39" s="52">
        <f t="shared" ref="G39:G42" si="43">60/E39</f>
        <v>109.09090909090908</v>
      </c>
      <c r="H39" s="53">
        <f t="shared" ref="H39:H42" si="44">$E$3*E39/480</f>
        <v>1.7784288194444444</v>
      </c>
      <c r="I39" s="58">
        <v>2</v>
      </c>
      <c r="J39" s="54">
        <v>2</v>
      </c>
      <c r="K39" s="55">
        <f t="shared" ref="K39:K42" si="45">G39*J39</f>
        <v>218.18181818181816</v>
      </c>
      <c r="L39" s="56">
        <f t="shared" ref="L39:L42" si="46">$F$3/K39</f>
        <v>0.88921440972222232</v>
      </c>
      <c r="M39" s="57"/>
    </row>
    <row r="40" spans="1:13">
      <c r="A40" s="61">
        <f t="shared" si="41"/>
        <v>29</v>
      </c>
      <c r="B40" s="185" t="s">
        <v>119</v>
      </c>
      <c r="C40" s="169"/>
      <c r="D40" s="62" t="s">
        <v>36</v>
      </c>
      <c r="E40" s="50">
        <v>0.3</v>
      </c>
      <c r="F40" s="51">
        <f t="shared" si="42"/>
        <v>18</v>
      </c>
      <c r="G40" s="52">
        <f t="shared" si="43"/>
        <v>200</v>
      </c>
      <c r="H40" s="53">
        <f t="shared" si="44"/>
        <v>0.97005208333333326</v>
      </c>
      <c r="I40" s="58">
        <v>1</v>
      </c>
      <c r="J40" s="54">
        <v>1</v>
      </c>
      <c r="K40" s="55">
        <f t="shared" si="45"/>
        <v>200</v>
      </c>
      <c r="L40" s="56">
        <f t="shared" si="46"/>
        <v>0.97005208333333326</v>
      </c>
      <c r="M40" s="57"/>
    </row>
    <row r="41" spans="1:13">
      <c r="A41" s="61">
        <f t="shared" si="41"/>
        <v>30</v>
      </c>
      <c r="B41" s="185" t="s">
        <v>66</v>
      </c>
      <c r="C41" s="169"/>
      <c r="D41" s="62" t="s">
        <v>42</v>
      </c>
      <c r="E41" s="50">
        <v>0.65</v>
      </c>
      <c r="F41" s="51">
        <f t="shared" si="42"/>
        <v>39</v>
      </c>
      <c r="G41" s="52">
        <f t="shared" si="43"/>
        <v>92.307692307692307</v>
      </c>
      <c r="H41" s="53">
        <f t="shared" si="44"/>
        <v>2.1017795138888888</v>
      </c>
      <c r="I41" s="58">
        <v>2</v>
      </c>
      <c r="J41" s="54">
        <v>2</v>
      </c>
      <c r="K41" s="55">
        <f t="shared" si="45"/>
        <v>184.61538461538461</v>
      </c>
      <c r="L41" s="56">
        <f t="shared" si="46"/>
        <v>1.0508897569444444</v>
      </c>
      <c r="M41" s="57"/>
    </row>
    <row r="42" spans="1:13">
      <c r="A42" s="61">
        <f t="shared" si="41"/>
        <v>31</v>
      </c>
      <c r="B42" s="185" t="s">
        <v>123</v>
      </c>
      <c r="C42" s="169"/>
      <c r="D42" s="62" t="s">
        <v>42</v>
      </c>
      <c r="E42" s="50">
        <v>0.6</v>
      </c>
      <c r="F42" s="51">
        <f t="shared" si="42"/>
        <v>36</v>
      </c>
      <c r="G42" s="52">
        <f t="shared" si="43"/>
        <v>100</v>
      </c>
      <c r="H42" s="53">
        <f t="shared" si="44"/>
        <v>1.9401041666666665</v>
      </c>
      <c r="I42" s="58">
        <v>2</v>
      </c>
      <c r="J42" s="54">
        <v>2</v>
      </c>
      <c r="K42" s="55">
        <f t="shared" si="45"/>
        <v>200</v>
      </c>
      <c r="L42" s="56">
        <f t="shared" si="46"/>
        <v>0.97005208333333326</v>
      </c>
      <c r="M42" s="57"/>
    </row>
    <row r="43" spans="1:13">
      <c r="A43" s="61">
        <f t="shared" si="41"/>
        <v>32</v>
      </c>
      <c r="B43" s="185" t="s">
        <v>124</v>
      </c>
      <c r="C43" s="169"/>
      <c r="D43" s="62" t="s">
        <v>36</v>
      </c>
      <c r="E43" s="50">
        <v>0.3</v>
      </c>
      <c r="F43" s="51">
        <f t="shared" si="36"/>
        <v>18</v>
      </c>
      <c r="G43" s="52">
        <f t="shared" si="37"/>
        <v>200</v>
      </c>
      <c r="H43" s="53">
        <f t="shared" si="38"/>
        <v>0.97005208333333326</v>
      </c>
      <c r="I43" s="58">
        <v>1</v>
      </c>
      <c r="J43" s="54">
        <v>1</v>
      </c>
      <c r="K43" s="55">
        <f t="shared" si="39"/>
        <v>200</v>
      </c>
      <c r="L43" s="56">
        <f t="shared" si="40"/>
        <v>0.97005208333333326</v>
      </c>
      <c r="M43" s="57"/>
    </row>
    <row r="44" spans="1:13">
      <c r="A44" s="61">
        <f t="shared" si="41"/>
        <v>33</v>
      </c>
      <c r="B44" s="185" t="s">
        <v>125</v>
      </c>
      <c r="C44" s="169"/>
      <c r="D44" s="62" t="s">
        <v>42</v>
      </c>
      <c r="E44" s="50">
        <v>0.65</v>
      </c>
      <c r="F44" s="51">
        <f t="shared" ref="F44" si="47">E44*60</f>
        <v>39</v>
      </c>
      <c r="G44" s="52">
        <f t="shared" ref="G44" si="48">60/E44</f>
        <v>92.307692307692307</v>
      </c>
      <c r="H44" s="53">
        <f t="shared" ref="H44" si="49">$E$3*E44/480</f>
        <v>2.1017795138888888</v>
      </c>
      <c r="I44" s="58">
        <v>2</v>
      </c>
      <c r="J44" s="54">
        <v>2</v>
      </c>
      <c r="K44" s="55">
        <f t="shared" ref="K44" si="50">G44*J44</f>
        <v>184.61538461538461</v>
      </c>
      <c r="L44" s="56">
        <f t="shared" ref="L44" si="51">$F$3/K44</f>
        <v>1.0508897569444444</v>
      </c>
      <c r="M44" s="57"/>
    </row>
    <row r="45" spans="1:13">
      <c r="A45" s="61">
        <f t="shared" si="41"/>
        <v>34</v>
      </c>
      <c r="B45" s="162" t="s">
        <v>67</v>
      </c>
      <c r="C45" s="169"/>
      <c r="D45" s="49" t="s">
        <v>68</v>
      </c>
      <c r="E45" s="50">
        <f>0.08*6</f>
        <v>0.48</v>
      </c>
      <c r="F45" s="51">
        <f t="shared" si="36"/>
        <v>28.799999999999997</v>
      </c>
      <c r="G45" s="52">
        <f t="shared" si="37"/>
        <v>125</v>
      </c>
      <c r="H45" s="53">
        <f t="shared" si="38"/>
        <v>1.552083333333333</v>
      </c>
      <c r="I45" s="58">
        <v>2</v>
      </c>
      <c r="J45" s="54">
        <v>1.5</v>
      </c>
      <c r="K45" s="55">
        <f>G45*J45</f>
        <v>187.5</v>
      </c>
      <c r="L45" s="56">
        <f t="shared" si="40"/>
        <v>1.0347222222222221</v>
      </c>
      <c r="M45" s="59"/>
    </row>
    <row r="46" spans="1:13">
      <c r="A46" s="61">
        <f t="shared" si="41"/>
        <v>35</v>
      </c>
      <c r="B46" s="162" t="s">
        <v>69</v>
      </c>
      <c r="C46" s="169"/>
      <c r="D46" s="62" t="s">
        <v>70</v>
      </c>
      <c r="E46" s="65">
        <v>0.48</v>
      </c>
      <c r="F46" s="51">
        <f t="shared" si="36"/>
        <v>28.799999999999997</v>
      </c>
      <c r="G46" s="52">
        <f t="shared" si="37"/>
        <v>125</v>
      </c>
      <c r="H46" s="53">
        <f t="shared" si="38"/>
        <v>1.552083333333333</v>
      </c>
      <c r="I46" s="66">
        <v>2</v>
      </c>
      <c r="J46" s="67">
        <v>1.5</v>
      </c>
      <c r="K46" s="68">
        <f>G46*J46</f>
        <v>187.5</v>
      </c>
      <c r="L46" s="56">
        <f t="shared" si="40"/>
        <v>1.0347222222222221</v>
      </c>
      <c r="M46" s="57"/>
    </row>
    <row r="47" spans="1:13">
      <c r="A47" s="61">
        <f t="shared" si="41"/>
        <v>36</v>
      </c>
      <c r="B47" s="181" t="s">
        <v>71</v>
      </c>
      <c r="C47" s="182" t="s">
        <v>49</v>
      </c>
      <c r="D47" s="49" t="s">
        <v>50</v>
      </c>
      <c r="E47" s="50">
        <v>0.4</v>
      </c>
      <c r="F47" s="51">
        <f t="shared" si="36"/>
        <v>24</v>
      </c>
      <c r="G47" s="52">
        <f t="shared" si="37"/>
        <v>150</v>
      </c>
      <c r="H47" s="53">
        <f t="shared" si="38"/>
        <v>1.2934027777777779</v>
      </c>
      <c r="I47" s="53">
        <v>1</v>
      </c>
      <c r="J47" s="54">
        <v>1</v>
      </c>
      <c r="K47" s="55">
        <f t="shared" si="39"/>
        <v>150</v>
      </c>
      <c r="L47" s="56">
        <f t="shared" si="40"/>
        <v>1.2934027777777777</v>
      </c>
      <c r="M47" s="60"/>
    </row>
    <row r="48" spans="1:13">
      <c r="A48" s="61">
        <f t="shared" si="41"/>
        <v>37</v>
      </c>
      <c r="B48" s="175" t="s">
        <v>73</v>
      </c>
      <c r="C48" s="176"/>
      <c r="D48" s="62" t="s">
        <v>74</v>
      </c>
      <c r="E48" s="50">
        <v>0.92</v>
      </c>
      <c r="F48" s="51">
        <f t="shared" si="36"/>
        <v>55.2</v>
      </c>
      <c r="G48" s="52">
        <f t="shared" si="37"/>
        <v>65.217391304347828</v>
      </c>
      <c r="H48" s="53">
        <f t="shared" si="38"/>
        <v>2.9748263888888888</v>
      </c>
      <c r="I48" s="53">
        <v>3</v>
      </c>
      <c r="J48" s="54">
        <v>3</v>
      </c>
      <c r="K48" s="55">
        <f t="shared" si="39"/>
        <v>195.6521739130435</v>
      </c>
      <c r="L48" s="56">
        <f t="shared" si="40"/>
        <v>0.99160879629629617</v>
      </c>
      <c r="M48" s="60"/>
    </row>
    <row r="49" spans="1:13">
      <c r="A49" s="61">
        <f t="shared" si="41"/>
        <v>38</v>
      </c>
      <c r="B49" s="175" t="s">
        <v>75</v>
      </c>
      <c r="C49" s="176"/>
      <c r="D49" s="62" t="s">
        <v>36</v>
      </c>
      <c r="E49" s="50">
        <v>0.4</v>
      </c>
      <c r="F49" s="51">
        <f t="shared" si="36"/>
        <v>24</v>
      </c>
      <c r="G49" s="52">
        <f t="shared" si="37"/>
        <v>150</v>
      </c>
      <c r="H49" s="53">
        <f t="shared" si="38"/>
        <v>1.2934027777777779</v>
      </c>
      <c r="I49" s="53">
        <v>1</v>
      </c>
      <c r="J49" s="54">
        <v>1</v>
      </c>
      <c r="K49" s="55">
        <f t="shared" si="39"/>
        <v>150</v>
      </c>
      <c r="L49" s="56">
        <f t="shared" si="40"/>
        <v>1.2934027777777777</v>
      </c>
      <c r="M49" s="60"/>
    </row>
    <row r="50" spans="1:13">
      <c r="A50" s="61">
        <f t="shared" si="41"/>
        <v>39</v>
      </c>
      <c r="B50" s="185" t="s">
        <v>126</v>
      </c>
      <c r="C50" s="169"/>
      <c r="D50" s="62" t="s">
        <v>45</v>
      </c>
      <c r="E50" s="50">
        <v>0.6</v>
      </c>
      <c r="F50" s="51">
        <f t="shared" ref="F50" si="52">E50*60</f>
        <v>36</v>
      </c>
      <c r="G50" s="52">
        <f t="shared" ref="G50" si="53">60/E50</f>
        <v>100</v>
      </c>
      <c r="H50" s="53">
        <f t="shared" ref="H50" si="54">$E$3*E50/480</f>
        <v>1.9401041666666665</v>
      </c>
      <c r="I50" s="58">
        <v>2</v>
      </c>
      <c r="J50" s="54">
        <v>2</v>
      </c>
      <c r="K50" s="55">
        <f t="shared" ref="K50" si="55">G50*J50</f>
        <v>200</v>
      </c>
      <c r="L50" s="56">
        <f t="shared" ref="L50" si="56">$F$3/K50</f>
        <v>0.97005208333333326</v>
      </c>
      <c r="M50" s="57"/>
    </row>
    <row r="51" spans="1:13">
      <c r="A51" s="61">
        <f t="shared" si="41"/>
        <v>40</v>
      </c>
      <c r="B51" s="185" t="s">
        <v>76</v>
      </c>
      <c r="C51" s="169"/>
      <c r="D51" s="62" t="s">
        <v>36</v>
      </c>
      <c r="E51" s="50">
        <v>0.3</v>
      </c>
      <c r="F51" s="51">
        <f t="shared" si="36"/>
        <v>18</v>
      </c>
      <c r="G51" s="52">
        <f t="shared" si="37"/>
        <v>200</v>
      </c>
      <c r="H51" s="53">
        <f t="shared" si="38"/>
        <v>0.97005208333333326</v>
      </c>
      <c r="I51" s="58">
        <v>1</v>
      </c>
      <c r="J51" s="54">
        <v>1</v>
      </c>
      <c r="K51" s="55">
        <f t="shared" si="39"/>
        <v>200</v>
      </c>
      <c r="L51" s="56">
        <f t="shared" si="40"/>
        <v>0.97005208333333326</v>
      </c>
      <c r="M51" s="57"/>
    </row>
    <row r="52" spans="1:13">
      <c r="A52" s="61">
        <f t="shared" si="41"/>
        <v>41</v>
      </c>
      <c r="B52" s="185" t="s">
        <v>77</v>
      </c>
      <c r="C52" s="169"/>
      <c r="D52" s="62" t="s">
        <v>78</v>
      </c>
      <c r="E52" s="50">
        <v>0.8</v>
      </c>
      <c r="F52" s="51">
        <f t="shared" si="36"/>
        <v>48</v>
      </c>
      <c r="G52" s="52">
        <f t="shared" si="37"/>
        <v>75</v>
      </c>
      <c r="H52" s="53">
        <f t="shared" si="38"/>
        <v>2.5868055555555558</v>
      </c>
      <c r="I52" s="53">
        <v>3</v>
      </c>
      <c r="J52" s="54">
        <v>2.5</v>
      </c>
      <c r="K52" s="55">
        <f t="shared" si="39"/>
        <v>187.5</v>
      </c>
      <c r="L52" s="56">
        <f t="shared" si="40"/>
        <v>1.0347222222222221</v>
      </c>
      <c r="M52" s="57"/>
    </row>
    <row r="53" spans="1:13">
      <c r="A53" s="61">
        <f t="shared" si="41"/>
        <v>42</v>
      </c>
      <c r="B53" s="185" t="s">
        <v>79</v>
      </c>
      <c r="C53" s="163"/>
      <c r="D53" s="62" t="s">
        <v>80</v>
      </c>
      <c r="E53" s="50">
        <v>0.7</v>
      </c>
      <c r="F53" s="51">
        <f t="shared" si="36"/>
        <v>42</v>
      </c>
      <c r="G53" s="52">
        <f t="shared" si="37"/>
        <v>85.714285714285722</v>
      </c>
      <c r="H53" s="53">
        <f t="shared" si="38"/>
        <v>2.2634548611111112</v>
      </c>
      <c r="I53" s="53">
        <v>3</v>
      </c>
      <c r="J53" s="54">
        <v>2.5</v>
      </c>
      <c r="K53" s="55">
        <f t="shared" si="39"/>
        <v>214.28571428571431</v>
      </c>
      <c r="L53" s="56">
        <f t="shared" si="40"/>
        <v>0.90538194444444431</v>
      </c>
      <c r="M53" s="60"/>
    </row>
    <row r="54" spans="1:13">
      <c r="A54" s="61">
        <f t="shared" si="41"/>
        <v>43</v>
      </c>
      <c r="B54" s="185" t="s">
        <v>81</v>
      </c>
      <c r="C54" s="169"/>
      <c r="D54" s="62" t="s">
        <v>36</v>
      </c>
      <c r="E54" s="50">
        <v>0.4</v>
      </c>
      <c r="F54" s="51">
        <f t="shared" si="36"/>
        <v>24</v>
      </c>
      <c r="G54" s="52">
        <f t="shared" si="37"/>
        <v>150</v>
      </c>
      <c r="H54" s="53">
        <f t="shared" si="38"/>
        <v>1.2934027777777779</v>
      </c>
      <c r="I54" s="53">
        <v>1</v>
      </c>
      <c r="J54" s="54">
        <v>1</v>
      </c>
      <c r="K54" s="55">
        <f t="shared" si="39"/>
        <v>150</v>
      </c>
      <c r="L54" s="56">
        <f t="shared" si="40"/>
        <v>1.2934027777777777</v>
      </c>
      <c r="M54" s="60"/>
    </row>
    <row r="55" spans="1:13">
      <c r="A55" s="61">
        <f t="shared" si="41"/>
        <v>44</v>
      </c>
      <c r="B55" s="185" t="s">
        <v>82</v>
      </c>
      <c r="C55" s="169"/>
      <c r="D55" s="62" t="s">
        <v>83</v>
      </c>
      <c r="E55" s="50">
        <v>0.9</v>
      </c>
      <c r="F55" s="51">
        <f>E55*60</f>
        <v>54</v>
      </c>
      <c r="G55" s="52">
        <f>60/E55</f>
        <v>66.666666666666671</v>
      </c>
      <c r="H55" s="53">
        <f>$E$3*E55/480</f>
        <v>2.91015625</v>
      </c>
      <c r="I55" s="53">
        <v>3</v>
      </c>
      <c r="J55" s="54">
        <v>3</v>
      </c>
      <c r="K55" s="55">
        <f t="shared" si="39"/>
        <v>200</v>
      </c>
      <c r="L55" s="56">
        <f>$F$3/K55</f>
        <v>0.97005208333333326</v>
      </c>
      <c r="M55" s="57"/>
    </row>
    <row r="56" spans="1:13">
      <c r="A56" s="61">
        <f t="shared" si="41"/>
        <v>45</v>
      </c>
      <c r="B56" s="185" t="s">
        <v>110</v>
      </c>
      <c r="C56" s="169"/>
      <c r="D56" s="62" t="s">
        <v>42</v>
      </c>
      <c r="E56" s="50">
        <v>0.34</v>
      </c>
      <c r="F56" s="51">
        <f>E56*60</f>
        <v>20.400000000000002</v>
      </c>
      <c r="G56" s="52">
        <f>60/E56</f>
        <v>176.47058823529412</v>
      </c>
      <c r="H56" s="53">
        <f>$E$3*E56/480</f>
        <v>1.0993923611111112</v>
      </c>
      <c r="I56" s="53">
        <v>1</v>
      </c>
      <c r="J56" s="54">
        <v>1</v>
      </c>
      <c r="K56" s="55">
        <f t="shared" ref="K56" si="57">G56*J56</f>
        <v>176.47058823529412</v>
      </c>
      <c r="L56" s="56">
        <f>$F$3/K56</f>
        <v>1.0993923611111112</v>
      </c>
      <c r="M56" s="57"/>
    </row>
    <row r="57" spans="1:13">
      <c r="A57" s="61">
        <f t="shared" si="41"/>
        <v>46</v>
      </c>
      <c r="B57" s="185" t="s">
        <v>84</v>
      </c>
      <c r="C57" s="169"/>
      <c r="D57" s="69" t="s">
        <v>50</v>
      </c>
      <c r="E57" s="50">
        <v>0.4</v>
      </c>
      <c r="F57" s="51">
        <f>E57*60</f>
        <v>24</v>
      </c>
      <c r="G57" s="52">
        <f>60/E57</f>
        <v>150</v>
      </c>
      <c r="H57" s="53">
        <f>$E$3*E57/480</f>
        <v>1.2934027777777779</v>
      </c>
      <c r="I57" s="53">
        <v>1</v>
      </c>
      <c r="J57" s="54">
        <v>1</v>
      </c>
      <c r="K57" s="55">
        <f t="shared" si="39"/>
        <v>150</v>
      </c>
      <c r="L57" s="56">
        <f>$F$3/K57</f>
        <v>1.2934027777777777</v>
      </c>
      <c r="M57" s="57"/>
    </row>
    <row r="58" spans="1:13">
      <c r="A58" s="61">
        <f t="shared" si="41"/>
        <v>47</v>
      </c>
      <c r="B58" s="185" t="s">
        <v>85</v>
      </c>
      <c r="C58" s="169"/>
      <c r="D58" s="62" t="s">
        <v>86</v>
      </c>
      <c r="E58" s="50">
        <v>0.3</v>
      </c>
      <c r="F58" s="51">
        <f>E58*60</f>
        <v>18</v>
      </c>
      <c r="G58" s="52">
        <f>60/E58</f>
        <v>200</v>
      </c>
      <c r="H58" s="53">
        <f>$E$3*E58/480</f>
        <v>0.97005208333333326</v>
      </c>
      <c r="I58" s="53">
        <v>1</v>
      </c>
      <c r="J58" s="54">
        <v>1</v>
      </c>
      <c r="K58" s="55">
        <f t="shared" si="39"/>
        <v>200</v>
      </c>
      <c r="L58" s="56">
        <f>$F$3/K58</f>
        <v>0.97005208333333326</v>
      </c>
      <c r="M58" s="57"/>
    </row>
    <row r="59" spans="1:13">
      <c r="A59" s="61">
        <f t="shared" si="41"/>
        <v>48</v>
      </c>
      <c r="B59" s="185" t="s">
        <v>109</v>
      </c>
      <c r="C59" s="169"/>
      <c r="D59" s="62" t="s">
        <v>42</v>
      </c>
      <c r="E59" s="50">
        <v>0.85</v>
      </c>
      <c r="F59" s="51">
        <f t="shared" ref="F59:F63" si="58">E59*60</f>
        <v>51</v>
      </c>
      <c r="G59" s="52">
        <f t="shared" ref="G59:G63" si="59">60/E59</f>
        <v>70.588235294117652</v>
      </c>
      <c r="H59" s="53">
        <f t="shared" ref="H59:H63" si="60">$E$3*E59/480</f>
        <v>2.7484809027777777</v>
      </c>
      <c r="I59" s="58">
        <v>3</v>
      </c>
      <c r="J59" s="54">
        <v>3</v>
      </c>
      <c r="K59" s="55">
        <f t="shared" si="39"/>
        <v>211.76470588235296</v>
      </c>
      <c r="L59" s="56">
        <f t="shared" ref="L59:L63" si="61">$F$3/K59</f>
        <v>0.91616030092592582</v>
      </c>
      <c r="M59" s="57"/>
    </row>
    <row r="60" spans="1:13">
      <c r="A60" s="61">
        <f t="shared" si="41"/>
        <v>49</v>
      </c>
      <c r="B60" s="185" t="s">
        <v>120</v>
      </c>
      <c r="C60" s="169"/>
      <c r="D60" s="62" t="s">
        <v>101</v>
      </c>
      <c r="E60" s="50">
        <v>0.3</v>
      </c>
      <c r="F60" s="51">
        <f t="shared" ref="F60:F62" si="62">E60*60</f>
        <v>18</v>
      </c>
      <c r="G60" s="52">
        <f t="shared" ref="G60:G62" si="63">60/E60</f>
        <v>200</v>
      </c>
      <c r="H60" s="53">
        <f t="shared" ref="H60:H62" si="64">$E$3*E60/480</f>
        <v>0.97005208333333326</v>
      </c>
      <c r="I60" s="58">
        <v>1</v>
      </c>
      <c r="J60" s="54">
        <v>1</v>
      </c>
      <c r="K60" s="55">
        <f t="shared" ref="K60" si="65">G60*J60</f>
        <v>200</v>
      </c>
      <c r="L60" s="56">
        <f t="shared" ref="L60:L62" si="66">$F$3/K60</f>
        <v>0.97005208333333326</v>
      </c>
      <c r="M60" s="57"/>
    </row>
    <row r="61" spans="1:13">
      <c r="A61" s="61">
        <f t="shared" si="41"/>
        <v>50</v>
      </c>
      <c r="B61" s="185" t="s">
        <v>121</v>
      </c>
      <c r="C61" s="169"/>
      <c r="D61" s="62" t="s">
        <v>70</v>
      </c>
      <c r="E61" s="65">
        <v>0.15</v>
      </c>
      <c r="F61" s="51">
        <f t="shared" si="62"/>
        <v>9</v>
      </c>
      <c r="G61" s="52">
        <f t="shared" si="63"/>
        <v>400</v>
      </c>
      <c r="H61" s="53">
        <f t="shared" si="64"/>
        <v>0.48502604166666663</v>
      </c>
      <c r="I61" s="66">
        <v>1</v>
      </c>
      <c r="J61" s="67">
        <v>0.5</v>
      </c>
      <c r="K61" s="68">
        <f>G61*J61</f>
        <v>200</v>
      </c>
      <c r="L61" s="56">
        <f t="shared" si="66"/>
        <v>0.97005208333333326</v>
      </c>
      <c r="M61" s="57"/>
    </row>
    <row r="62" spans="1:13">
      <c r="A62" s="61">
        <f t="shared" si="41"/>
        <v>51</v>
      </c>
      <c r="B62" s="185" t="s">
        <v>122</v>
      </c>
      <c r="C62" s="169"/>
      <c r="D62" s="49" t="s">
        <v>68</v>
      </c>
      <c r="E62" s="65">
        <v>0.15</v>
      </c>
      <c r="F62" s="51">
        <f t="shared" si="62"/>
        <v>9</v>
      </c>
      <c r="G62" s="52">
        <f t="shared" si="63"/>
        <v>400</v>
      </c>
      <c r="H62" s="53">
        <f t="shared" si="64"/>
        <v>0.48502604166666663</v>
      </c>
      <c r="I62" s="66">
        <v>1</v>
      </c>
      <c r="J62" s="67">
        <v>0.5</v>
      </c>
      <c r="K62" s="68">
        <f>G62*J62</f>
        <v>200</v>
      </c>
      <c r="L62" s="56">
        <f t="shared" si="66"/>
        <v>0.97005208333333326</v>
      </c>
      <c r="M62" s="57"/>
    </row>
    <row r="63" spans="1:13">
      <c r="A63" s="61">
        <f t="shared" si="41"/>
        <v>52</v>
      </c>
      <c r="B63" s="185" t="s">
        <v>108</v>
      </c>
      <c r="C63" s="169"/>
      <c r="D63" s="62" t="s">
        <v>70</v>
      </c>
      <c r="E63" s="50">
        <v>0.3</v>
      </c>
      <c r="F63" s="51">
        <f t="shared" si="58"/>
        <v>18</v>
      </c>
      <c r="G63" s="52">
        <f t="shared" si="59"/>
        <v>200</v>
      </c>
      <c r="H63" s="53">
        <f t="shared" si="60"/>
        <v>0.97005208333333326</v>
      </c>
      <c r="I63" s="58">
        <v>1</v>
      </c>
      <c r="J63" s="54">
        <v>1</v>
      </c>
      <c r="K63" s="55">
        <f t="shared" si="39"/>
        <v>200</v>
      </c>
      <c r="L63" s="56">
        <f t="shared" si="61"/>
        <v>0.97005208333333326</v>
      </c>
      <c r="M63" s="57"/>
    </row>
    <row r="64" spans="1:13" ht="15.75" thickBot="1">
      <c r="A64" s="61">
        <f t="shared" si="41"/>
        <v>53</v>
      </c>
      <c r="B64" s="170" t="s">
        <v>87</v>
      </c>
      <c r="C64" s="188"/>
      <c r="D64" s="62" t="s">
        <v>36</v>
      </c>
      <c r="E64" s="50">
        <v>0.55000000000000004</v>
      </c>
      <c r="F64" s="51">
        <f>E64*60</f>
        <v>33</v>
      </c>
      <c r="G64" s="52">
        <f>60/E64</f>
        <v>109.09090909090908</v>
      </c>
      <c r="H64" s="53">
        <f>$E$3*E64/480</f>
        <v>1.7784288194444444</v>
      </c>
      <c r="I64" s="53">
        <v>2</v>
      </c>
      <c r="J64" s="54">
        <v>2</v>
      </c>
      <c r="K64" s="55">
        <f t="shared" si="39"/>
        <v>218.18181818181816</v>
      </c>
      <c r="L64" s="56">
        <f>$F$3/K64</f>
        <v>0.88921440972222232</v>
      </c>
      <c r="M64" s="57"/>
    </row>
    <row r="65" spans="1:43" ht="15.75" thickBot="1">
      <c r="A65" s="70"/>
      <c r="B65" s="71"/>
      <c r="C65" s="72"/>
      <c r="D65" s="73"/>
      <c r="E65" s="74">
        <f>SUM(E8:E64)</f>
        <v>23.040000000000003</v>
      </c>
      <c r="F65" s="74"/>
      <c r="G65" s="75"/>
      <c r="H65" s="76">
        <f>SUM(H8:H64)</f>
        <v>74.499999999999986</v>
      </c>
      <c r="I65" s="77">
        <f>SUM(I8:I64)</f>
        <v>79</v>
      </c>
      <c r="J65" s="78">
        <f>SUM(J8:J64)</f>
        <v>74.5</v>
      </c>
      <c r="K65" s="79"/>
      <c r="L65" s="140">
        <f>E65-M71</f>
        <v>21.490000000000002</v>
      </c>
      <c r="M65" s="80"/>
    </row>
    <row r="66" spans="1:43" ht="15.75" thickBot="1">
      <c r="A66" s="81"/>
      <c r="B66" s="81"/>
      <c r="C66" s="82"/>
      <c r="D66" s="83"/>
      <c r="E66" s="82"/>
      <c r="F66" s="82"/>
      <c r="G66" s="82"/>
      <c r="H66" s="83"/>
      <c r="I66" s="84"/>
      <c r="J66" s="85"/>
      <c r="L66" s="84"/>
      <c r="M66" s="83"/>
      <c r="O66" s="81"/>
    </row>
    <row r="67" spans="1:43" s="36" customFormat="1" ht="26.25" thickBot="1">
      <c r="A67" s="86"/>
      <c r="B67" s="186" t="s">
        <v>88</v>
      </c>
      <c r="C67" s="187"/>
      <c r="D67" s="87" t="s">
        <v>28</v>
      </c>
      <c r="E67" s="88" t="s">
        <v>89</v>
      </c>
      <c r="F67" s="88"/>
      <c r="G67" s="89" t="s">
        <v>24</v>
      </c>
      <c r="H67" s="90"/>
      <c r="I67" s="186" t="s">
        <v>88</v>
      </c>
      <c r="J67" s="187"/>
      <c r="K67" s="87" t="s">
        <v>90</v>
      </c>
      <c r="L67" s="88" t="s">
        <v>89</v>
      </c>
      <c r="M67" s="89" t="s">
        <v>24</v>
      </c>
      <c r="N67" s="90"/>
      <c r="O67" s="90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</row>
    <row r="68" spans="1:43" ht="12.75" hidden="1" customHeight="1">
      <c r="A68" s="81"/>
      <c r="B68" s="92" t="s">
        <v>23</v>
      </c>
      <c r="C68" s="93"/>
      <c r="D68" s="94"/>
      <c r="E68" s="95"/>
      <c r="F68" s="82"/>
      <c r="G68" s="82"/>
      <c r="H68" s="83"/>
      <c r="I68" s="96" t="s">
        <v>23</v>
      </c>
      <c r="J68" s="96"/>
      <c r="K68" s="97"/>
      <c r="L68" s="98"/>
      <c r="M68" s="97"/>
      <c r="N68" s="99"/>
      <c r="O68" s="99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</row>
    <row r="69" spans="1:43">
      <c r="A69" s="81"/>
      <c r="B69" s="195" t="s">
        <v>42</v>
      </c>
      <c r="C69" s="196"/>
      <c r="D69" s="101">
        <f>DSUM($D$6:$J$64,$J$6,$B68:B$69)</f>
        <v>32.5</v>
      </c>
      <c r="E69" s="102">
        <f>DSUM($D$6:$I$64,$I$6,$B68:B$69)</f>
        <v>33</v>
      </c>
      <c r="F69" s="103"/>
      <c r="G69" s="104">
        <f>DSUM($D$6:$J$64,$E$6,$B68:C$69)</f>
        <v>9.9499999999999993</v>
      </c>
      <c r="H69" s="83"/>
      <c r="I69" s="197" t="s">
        <v>36</v>
      </c>
      <c r="J69" s="198"/>
      <c r="K69" s="105">
        <f>DSUM($D$6:$J$64,$J$6,$I68:I$69)</f>
        <v>10</v>
      </c>
      <c r="L69" s="106">
        <f>DSUM($D$6:$I$64,$I$6,$I68:I$69)</f>
        <v>10</v>
      </c>
      <c r="M69" s="107">
        <f>DSUM($D$6:$J$64,$E$6,$I68:J$69)</f>
        <v>3.0999999999999996</v>
      </c>
      <c r="N69" s="108"/>
      <c r="O69" s="108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</row>
    <row r="70" spans="1:43" ht="12.75" hidden="1" customHeight="1">
      <c r="A70" s="81"/>
      <c r="B70" s="109" t="s">
        <v>23</v>
      </c>
      <c r="C70" s="110"/>
      <c r="D70" s="111"/>
      <c r="E70" s="112"/>
      <c r="F70" s="113"/>
      <c r="G70" s="114"/>
      <c r="H70" s="83"/>
      <c r="I70" s="115" t="s">
        <v>23</v>
      </c>
      <c r="J70" s="116"/>
      <c r="K70" s="117"/>
      <c r="L70" s="118"/>
      <c r="M70" s="119"/>
      <c r="N70" s="108"/>
      <c r="O70" s="108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</row>
    <row r="71" spans="1:43">
      <c r="A71" s="81"/>
      <c r="B71" s="191" t="s">
        <v>38</v>
      </c>
      <c r="C71" s="192"/>
      <c r="D71" s="111">
        <f>DSUM($D$6:$J$65,$J$6,$B70:B$71)</f>
        <v>3</v>
      </c>
      <c r="E71" s="112">
        <f>DSUM($D$6:$I$65,$I$6,$B70:B$72)</f>
        <v>4</v>
      </c>
      <c r="F71" s="113"/>
      <c r="G71" s="114">
        <f>DSUM($D$6:$J$64,$E$6,$B$70:C71)</f>
        <v>0.88000000000000012</v>
      </c>
      <c r="H71" s="83"/>
      <c r="I71" s="189" t="s">
        <v>50</v>
      </c>
      <c r="J71" s="190"/>
      <c r="K71" s="117">
        <f>DSUM($D$6:$J$64,$J$6,$I$70:I71)</f>
        <v>4</v>
      </c>
      <c r="L71" s="118">
        <f>DSUM($D$6:$I$64,$I$6,$I$70:I71)</f>
        <v>4</v>
      </c>
      <c r="M71" s="119">
        <f>DSUM($D$6:$J$64,$E$6,$I$70:J71)</f>
        <v>1.5499999999999998</v>
      </c>
      <c r="N71" s="108"/>
      <c r="O71" s="108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</row>
    <row r="72" spans="1:43" ht="12.75" hidden="1" customHeight="1">
      <c r="A72" s="81"/>
      <c r="B72" s="109" t="s">
        <v>23</v>
      </c>
      <c r="C72" s="110"/>
      <c r="D72" s="111"/>
      <c r="E72" s="112"/>
      <c r="F72" s="113"/>
      <c r="G72" s="114"/>
      <c r="H72" s="83"/>
      <c r="I72" s="115" t="s">
        <v>23</v>
      </c>
      <c r="J72" s="116"/>
      <c r="K72" s="117"/>
      <c r="L72" s="118"/>
      <c r="M72" s="119"/>
      <c r="N72" s="108"/>
      <c r="O72" s="108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  <c r="AM72" s="100"/>
      <c r="AN72" s="100"/>
      <c r="AO72" s="100"/>
      <c r="AP72" s="100"/>
      <c r="AQ72" s="100"/>
    </row>
    <row r="73" spans="1:43">
      <c r="A73" s="81"/>
      <c r="B73" s="191" t="s">
        <v>80</v>
      </c>
      <c r="C73" s="192"/>
      <c r="D73" s="111">
        <f>DSUM($D$6:$J$65,$J$6,$B72:B$73)</f>
        <v>2.5</v>
      </c>
      <c r="E73" s="112">
        <f>DSUM($D$6:$I$65,$I$6,$B72:B$73)</f>
        <v>3</v>
      </c>
      <c r="F73" s="113"/>
      <c r="G73" s="114">
        <f>DSUM($D$6:$J$64,$E$6,$B$72:C73)</f>
        <v>0.7</v>
      </c>
      <c r="H73" s="83"/>
      <c r="I73" s="189" t="s">
        <v>45</v>
      </c>
      <c r="J73" s="190"/>
      <c r="K73" s="117">
        <f>DSUM($D$6:$J$64,$J$6,$I$72:I73)</f>
        <v>4.5</v>
      </c>
      <c r="L73" s="118">
        <f>DSUM($D$6:$I$64,$I$6,$I$72:J73)</f>
        <v>4</v>
      </c>
      <c r="M73" s="119">
        <f>DSUM($D$6:$J$64,$E$6,$I$72:J73)</f>
        <v>1.2799999999999998</v>
      </c>
      <c r="N73" s="108"/>
      <c r="O73" s="108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  <c r="AM73" s="100"/>
      <c r="AN73" s="100"/>
      <c r="AO73" s="100"/>
      <c r="AP73" s="100"/>
      <c r="AQ73" s="100"/>
    </row>
    <row r="74" spans="1:43" ht="12.75" hidden="1" customHeight="1">
      <c r="A74" s="81"/>
      <c r="B74" s="109" t="s">
        <v>91</v>
      </c>
      <c r="C74" s="110"/>
      <c r="D74" s="111"/>
      <c r="E74" s="112"/>
      <c r="F74" s="113"/>
      <c r="G74" s="114"/>
      <c r="H74" s="83"/>
      <c r="I74" s="115" t="s">
        <v>23</v>
      </c>
      <c r="J74" s="116"/>
      <c r="K74" s="117"/>
      <c r="L74" s="118"/>
      <c r="M74" s="119"/>
      <c r="N74" s="99"/>
      <c r="O74" s="99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  <c r="AM74" s="100"/>
      <c r="AN74" s="100"/>
      <c r="AO74" s="100"/>
      <c r="AP74" s="100"/>
      <c r="AQ74" s="100"/>
    </row>
    <row r="75" spans="1:43">
      <c r="A75" s="81"/>
      <c r="B75" s="191" t="s">
        <v>83</v>
      </c>
      <c r="C75" s="192"/>
      <c r="D75" s="111">
        <f>DSUM($D$6:$J$65,$J$6,$B$74:B75)</f>
        <v>3</v>
      </c>
      <c r="E75" s="112">
        <f>DSUM($D$6:$I$65,$I$6,$B74:B$75)</f>
        <v>3</v>
      </c>
      <c r="F75" s="113"/>
      <c r="G75" s="114">
        <f>DSUM($D$6:$J$64,$E$6,$B74:C$75)</f>
        <v>0.9</v>
      </c>
      <c r="H75" s="83"/>
      <c r="I75" s="189" t="s">
        <v>47</v>
      </c>
      <c r="J75" s="190"/>
      <c r="K75" s="117">
        <f>DSUM($D$6:$J$64,$J$6,$I74:I$75)</f>
        <v>0.5</v>
      </c>
      <c r="L75" s="118">
        <f>DSUM($D$6:$I$64,$I$6,$I74:J$75)</f>
        <v>1</v>
      </c>
      <c r="M75" s="119">
        <f>DSUM($D$6:$J$64,$E$6,$I74:J$75)</f>
        <v>0.18</v>
      </c>
      <c r="N75" s="99"/>
      <c r="O75" s="99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  <c r="AM75" s="100"/>
      <c r="AN75" s="100"/>
      <c r="AO75" s="100"/>
      <c r="AP75" s="100"/>
      <c r="AQ75" s="100"/>
    </row>
    <row r="76" spans="1:43" ht="12.75" hidden="1" customHeight="1">
      <c r="A76" s="81"/>
      <c r="B76" s="109" t="s">
        <v>91</v>
      </c>
      <c r="C76" s="110"/>
      <c r="D76" s="111"/>
      <c r="E76" s="112"/>
      <c r="F76" s="113"/>
      <c r="G76" s="114"/>
      <c r="H76" s="83"/>
      <c r="I76" s="115" t="s">
        <v>23</v>
      </c>
      <c r="J76" s="116"/>
      <c r="K76" s="117"/>
      <c r="L76" s="118"/>
      <c r="M76" s="119"/>
      <c r="N76" s="99"/>
      <c r="O76" s="99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  <c r="AM76" s="100"/>
      <c r="AN76" s="100"/>
      <c r="AO76" s="100"/>
      <c r="AP76" s="100"/>
      <c r="AQ76" s="100"/>
    </row>
    <row r="77" spans="1:43">
      <c r="A77" s="81"/>
      <c r="B77" s="191" t="s">
        <v>92</v>
      </c>
      <c r="C77" s="192"/>
      <c r="D77" s="111">
        <f>DSUM($D$6:$J$65,$J$6,$B76:B$77)</f>
        <v>3</v>
      </c>
      <c r="E77" s="112">
        <f>DSUM($D$6:$I$65,$I$6,$B76:B$77)</f>
        <v>3</v>
      </c>
      <c r="F77" s="113"/>
      <c r="G77" s="114">
        <f>DSUM($D$6:$J$64,$E$6,$B$76:C77)</f>
        <v>0.92</v>
      </c>
      <c r="H77" s="83"/>
      <c r="I77" s="189" t="s">
        <v>93</v>
      </c>
      <c r="J77" s="190"/>
      <c r="K77" s="117">
        <f>DSUM($D$6:$J$64,$J$6,$I$76:I77)</f>
        <v>0</v>
      </c>
      <c r="L77" s="118">
        <f>DSUM($D$6:$I$64,$I$6,$I$76:J77)</f>
        <v>0</v>
      </c>
      <c r="M77" s="119">
        <f>DSUM($D$6:$J$64,$E$6,$I$76:J77)</f>
        <v>0</v>
      </c>
      <c r="N77" s="99"/>
      <c r="O77" s="99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</row>
    <row r="78" spans="1:43" ht="12.75" hidden="1" customHeight="1">
      <c r="A78" s="81"/>
      <c r="B78" s="109" t="s">
        <v>91</v>
      </c>
      <c r="C78" s="110"/>
      <c r="D78" s="111"/>
      <c r="E78" s="112"/>
      <c r="F78" s="113"/>
      <c r="G78" s="114"/>
      <c r="H78" s="83"/>
      <c r="I78" s="115" t="s">
        <v>23</v>
      </c>
      <c r="J78" s="116"/>
      <c r="K78" s="117"/>
      <c r="L78" s="118"/>
      <c r="M78" s="119"/>
      <c r="N78" s="99"/>
      <c r="O78" s="99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  <c r="AM78" s="100"/>
      <c r="AN78" s="100"/>
      <c r="AO78" s="100"/>
      <c r="AP78" s="100"/>
      <c r="AQ78" s="100"/>
    </row>
    <row r="79" spans="1:43">
      <c r="A79" s="81"/>
      <c r="B79" s="191" t="s">
        <v>94</v>
      </c>
      <c r="C79" s="192"/>
      <c r="D79" s="111">
        <f>DSUM($D$6:$J$65,$J$6,$B78:B$79)</f>
        <v>0</v>
      </c>
      <c r="E79" s="112">
        <f>DSUM($D$6:$I$65,$I$6,$B78:B$79)</f>
        <v>0</v>
      </c>
      <c r="F79" s="113"/>
      <c r="G79" s="114">
        <f>DSUM($D$6:$J$64,$E$6,$B$78:C79)</f>
        <v>0</v>
      </c>
      <c r="H79" s="83"/>
      <c r="I79" s="189" t="s">
        <v>95</v>
      </c>
      <c r="J79" s="190"/>
      <c r="K79" s="117">
        <f>DSUM($D$6:$J$64,$J$6,$I$78:I79)</f>
        <v>0</v>
      </c>
      <c r="L79" s="118">
        <f>DSUM($D$6:$I$64,$I$6,$I$78:J79)</f>
        <v>0</v>
      </c>
      <c r="M79" s="119">
        <f>DSUM($D$6:$J$64,$E$6,$I$78:J79)</f>
        <v>0</v>
      </c>
      <c r="N79" s="99"/>
      <c r="O79" s="99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  <c r="AM79" s="100"/>
      <c r="AN79" s="100"/>
      <c r="AO79" s="100"/>
      <c r="AP79" s="100"/>
      <c r="AQ79" s="100"/>
    </row>
    <row r="80" spans="1:43" ht="12.75" hidden="1" customHeight="1">
      <c r="A80" s="81"/>
      <c r="B80" s="109" t="s">
        <v>91</v>
      </c>
      <c r="C80" s="110"/>
      <c r="D80" s="111"/>
      <c r="E80" s="112"/>
      <c r="F80" s="113"/>
      <c r="G80" s="114"/>
      <c r="H80" s="83"/>
      <c r="I80" s="115" t="s">
        <v>23</v>
      </c>
      <c r="J80" s="116"/>
      <c r="K80" s="117"/>
      <c r="L80" s="118"/>
      <c r="M80" s="119"/>
      <c r="N80" s="99"/>
      <c r="O80" s="99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</row>
    <row r="81" spans="1:43">
      <c r="A81" s="81"/>
      <c r="B81" s="191" t="s">
        <v>78</v>
      </c>
      <c r="C81" s="192"/>
      <c r="D81" s="111">
        <f>DSUM($D$6:$J$65,$J$6,$B80:B$81)</f>
        <v>2.5</v>
      </c>
      <c r="E81" s="112">
        <f>DSUM($D$6:$I$65,$I$6,$B80:B$81)</f>
        <v>3</v>
      </c>
      <c r="F81" s="113"/>
      <c r="G81" s="114">
        <f>DSUM($D$6:$J$64,$E$6,$B$80:C81)</f>
        <v>0.8</v>
      </c>
      <c r="H81" s="83"/>
      <c r="I81" s="189" t="s">
        <v>53</v>
      </c>
      <c r="J81" s="190"/>
      <c r="K81" s="117">
        <f>DSUM($D$6:$J$64,$J$6,$I$80:I81)</f>
        <v>0</v>
      </c>
      <c r="L81" s="118">
        <f>DSUM($D$6:$I$64,$I$6,$I$80:J81)</f>
        <v>0</v>
      </c>
      <c r="M81" s="119">
        <f>DSUM($D$6:$J$64,$E$6,$I$80:J81)</f>
        <v>0</v>
      </c>
      <c r="N81" s="99"/>
      <c r="O81" s="99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</row>
    <row r="82" spans="1:43" ht="12.75" hidden="1" customHeight="1">
      <c r="A82" s="81"/>
      <c r="B82" s="109" t="s">
        <v>23</v>
      </c>
      <c r="C82" s="110"/>
      <c r="D82" s="111"/>
      <c r="E82" s="112"/>
      <c r="F82" s="113"/>
      <c r="G82" s="114"/>
      <c r="H82" s="83"/>
      <c r="I82" s="189" t="s">
        <v>23</v>
      </c>
      <c r="J82" s="190"/>
      <c r="K82" s="117"/>
      <c r="L82" s="118"/>
      <c r="M82" s="119"/>
      <c r="N82" s="99"/>
      <c r="O82" s="99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</row>
    <row r="83" spans="1:43">
      <c r="A83" s="81"/>
      <c r="B83" s="193" t="s">
        <v>96</v>
      </c>
      <c r="C83" s="194"/>
      <c r="D83" s="111">
        <f>DSUM($D$6:$J$65,$J$6,$B82:B$83)</f>
        <v>1</v>
      </c>
      <c r="E83" s="112">
        <f>DSUM($D$6:$I$65,$I$6,$B82:B$83)</f>
        <v>1</v>
      </c>
      <c r="F83" s="113"/>
      <c r="G83" s="114">
        <f>DSUM($D$6:$J$64,$E$6,$B$82:C83)</f>
        <v>0.32</v>
      </c>
      <c r="H83" s="83"/>
      <c r="I83" s="189" t="s">
        <v>52</v>
      </c>
      <c r="J83" s="190"/>
      <c r="K83" s="117">
        <f>DSUM($D$6:$J$64,$J$6,$I82:I$83)</f>
        <v>0</v>
      </c>
      <c r="L83" s="118">
        <f>DSUM($D$6:$I$64,$I$6,$I82:J$83)</f>
        <v>0</v>
      </c>
      <c r="M83" s="119">
        <f>DSUM($D$6:$J$64,$E$6,$I82:J$83)</f>
        <v>0</v>
      </c>
      <c r="N83" s="99"/>
      <c r="O83" s="99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  <c r="AN83" s="100"/>
      <c r="AO83" s="100"/>
      <c r="AP83" s="100"/>
      <c r="AQ83" s="100"/>
    </row>
    <row r="84" spans="1:43" ht="12.75" hidden="1" customHeight="1">
      <c r="A84" s="81"/>
      <c r="B84" s="109" t="s">
        <v>23</v>
      </c>
      <c r="C84" s="110"/>
      <c r="D84" s="111"/>
      <c r="E84" s="112"/>
      <c r="F84" s="113"/>
      <c r="G84" s="114"/>
      <c r="H84" s="83"/>
      <c r="I84" s="189" t="s">
        <v>23</v>
      </c>
      <c r="J84" s="190"/>
      <c r="K84" s="117"/>
      <c r="L84" s="118"/>
      <c r="M84" s="119"/>
      <c r="N84" s="99"/>
      <c r="O84" s="99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  <c r="AN84" s="100"/>
      <c r="AO84" s="100"/>
      <c r="AP84" s="100"/>
      <c r="AQ84" s="100"/>
    </row>
    <row r="85" spans="1:43" ht="15.75" thickBot="1">
      <c r="A85" s="81"/>
      <c r="B85" s="193" t="s">
        <v>97</v>
      </c>
      <c r="C85" s="194"/>
      <c r="D85" s="111">
        <f>DSUM($D$6:$J$65,$J$6,$B84:B$85)</f>
        <v>0</v>
      </c>
      <c r="E85" s="112">
        <f>DSUM($D$6:$I$65,$I$6,$B84:B$85)</f>
        <v>0</v>
      </c>
      <c r="F85" s="113"/>
      <c r="G85" s="114">
        <f>DSUM($D$6:$J$64,$E$6,$B$84:C85)</f>
        <v>0</v>
      </c>
      <c r="H85" s="83"/>
      <c r="I85" s="205" t="s">
        <v>40</v>
      </c>
      <c r="J85" s="206"/>
      <c r="K85" s="120">
        <f>DSUM($D$6:$J$64,$J$6,$I$84:I85)</f>
        <v>1</v>
      </c>
      <c r="L85" s="121">
        <f>DSUM($D$6:$I$64,$I$6,$I$84:J85)</f>
        <v>1</v>
      </c>
      <c r="M85" s="122">
        <f>DSUM($D$6:$J$64,$E$6,$I$84:J85)</f>
        <v>0.3</v>
      </c>
      <c r="N85" s="99"/>
      <c r="O85" s="99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</row>
    <row r="86" spans="1:43" ht="15.75" hidden="1" thickBot="1">
      <c r="A86" s="81"/>
      <c r="B86" s="109" t="s">
        <v>23</v>
      </c>
      <c r="C86" s="110"/>
      <c r="D86" s="111"/>
      <c r="E86" s="112"/>
      <c r="F86" s="113"/>
      <c r="G86" s="114"/>
      <c r="H86" s="83"/>
      <c r="N86" s="99"/>
      <c r="O86" s="99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  <c r="AN86" s="100"/>
      <c r="AO86" s="100"/>
      <c r="AP86" s="100"/>
      <c r="AQ86" s="100"/>
    </row>
    <row r="87" spans="1:43" ht="15.75" thickBot="1">
      <c r="A87" s="81"/>
      <c r="B87" s="193" t="s">
        <v>98</v>
      </c>
      <c r="C87" s="194"/>
      <c r="D87" s="111">
        <f>DSUM($D$6:$J$64,$J$6,$B86:B$87)</f>
        <v>0</v>
      </c>
      <c r="E87" s="112">
        <f>DSUM($D$6:$I$65,$I$6,$B86:B$87)</f>
        <v>0</v>
      </c>
      <c r="F87" s="113"/>
      <c r="G87" s="114">
        <f>DSUM($D$6:$J$64,$E$6,$B$86:C87)</f>
        <v>0</v>
      </c>
      <c r="H87" s="83"/>
      <c r="I87" s="124" t="s">
        <v>99</v>
      </c>
      <c r="J87" s="125"/>
      <c r="K87" s="126">
        <f>SUM(K68:K85)</f>
        <v>20</v>
      </c>
      <c r="L87" s="126">
        <f>SUM(L68:L85)</f>
        <v>20</v>
      </c>
      <c r="M87" s="127">
        <f>SUM(M68:M85)</f>
        <v>6.4099999999999993</v>
      </c>
      <c r="N87" s="99"/>
      <c r="O87" s="99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00"/>
      <c r="AO87" s="100"/>
      <c r="AP87" s="100"/>
      <c r="AQ87" s="100"/>
    </row>
    <row r="88" spans="1:43" hidden="1">
      <c r="A88" s="81"/>
      <c r="B88" s="109" t="s">
        <v>23</v>
      </c>
      <c r="C88" s="110"/>
      <c r="D88" s="111"/>
      <c r="E88" s="112"/>
      <c r="F88" s="113"/>
      <c r="G88" s="114"/>
      <c r="H88" s="83"/>
      <c r="I88" s="99"/>
      <c r="J88" s="83"/>
      <c r="K88" s="99"/>
      <c r="L88" s="99"/>
      <c r="M88" s="83"/>
      <c r="N88" s="99"/>
      <c r="O88" s="99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</row>
    <row r="89" spans="1:43" ht="15" customHeight="1" thickBot="1">
      <c r="A89" s="81"/>
      <c r="B89" s="193" t="s">
        <v>100</v>
      </c>
      <c r="C89" s="194"/>
      <c r="D89" s="111">
        <f>DSUM($D$6:$J$65,$J$6,$B88:B$89)</f>
        <v>0</v>
      </c>
      <c r="E89" s="112">
        <f>DSUM($D$6:$I$65,$I$6,$B88:B$89)</f>
        <v>0</v>
      </c>
      <c r="F89" s="113"/>
      <c r="G89" s="114">
        <f>DSUM($D$6:$J$64,$E$6,$B$88:C89)</f>
        <v>0</v>
      </c>
      <c r="H89" s="83"/>
      <c r="I89" s="99"/>
      <c r="J89" s="83"/>
      <c r="K89" s="99"/>
      <c r="L89" s="99"/>
      <c r="M89" s="83"/>
      <c r="N89" s="99"/>
      <c r="O89" s="99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</row>
    <row r="90" spans="1:43" ht="15.75" hidden="1" thickBot="1">
      <c r="A90" s="81"/>
      <c r="B90" s="109" t="s">
        <v>23</v>
      </c>
      <c r="C90" s="110"/>
      <c r="D90" s="111"/>
      <c r="E90" s="112"/>
      <c r="F90" s="113"/>
      <c r="G90" s="114"/>
      <c r="H90" s="83"/>
      <c r="I90" s="99"/>
      <c r="J90" s="83"/>
      <c r="K90" s="99"/>
      <c r="L90" s="99"/>
      <c r="M90" s="83"/>
      <c r="N90" s="99"/>
      <c r="O90" s="99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</row>
    <row r="91" spans="1:43" ht="15.75" thickBot="1">
      <c r="A91" s="81"/>
      <c r="B91" s="193" t="s">
        <v>101</v>
      </c>
      <c r="C91" s="194"/>
      <c r="D91" s="111">
        <f>DSUM($D$6:$J$65,$J$6,$B90:B$91)</f>
        <v>2</v>
      </c>
      <c r="E91" s="112">
        <f>DSUM($D$6:$I$65,$I$6,$B90:B$91)</f>
        <v>2</v>
      </c>
      <c r="F91" s="113"/>
      <c r="G91" s="114">
        <f>DSUM($D$6:$J$64,$E$6,$B$90:C91)</f>
        <v>0.6</v>
      </c>
      <c r="H91" s="83"/>
      <c r="I91" s="207" t="s">
        <v>102</v>
      </c>
      <c r="J91" s="208"/>
      <c r="K91" s="208"/>
      <c r="L91" s="208"/>
      <c r="M91" s="209"/>
      <c r="N91" s="99"/>
      <c r="O91" s="99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</row>
    <row r="92" spans="1:43" ht="15.75" hidden="1" thickBot="1">
      <c r="A92" s="81"/>
      <c r="B92" s="109" t="s">
        <v>23</v>
      </c>
      <c r="C92" s="110"/>
      <c r="D92" s="111"/>
      <c r="E92" s="112"/>
      <c r="F92" s="113"/>
      <c r="G92" s="114"/>
      <c r="H92" s="83"/>
      <c r="I92" s="128"/>
      <c r="J92" s="129"/>
      <c r="K92" s="129"/>
      <c r="L92" s="129"/>
      <c r="M92" s="130"/>
      <c r="N92" s="99"/>
      <c r="O92" s="99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00"/>
      <c r="AO92" s="100"/>
      <c r="AP92" s="100"/>
      <c r="AQ92" s="100"/>
    </row>
    <row r="93" spans="1:43">
      <c r="A93" s="81"/>
      <c r="B93" s="193" t="s">
        <v>68</v>
      </c>
      <c r="C93" s="194"/>
      <c r="D93" s="111">
        <f>DSUM($D$6:$J$65,$J$6,$B92:B$93)</f>
        <v>2</v>
      </c>
      <c r="E93" s="112">
        <f>DSUM($D$6:$I$65,$I$6,$B92:B$93)</f>
        <v>3</v>
      </c>
      <c r="F93" s="113"/>
      <c r="G93" s="114">
        <f>DSUM($D$6:$J$64,$E$6,$B$92:C93)</f>
        <v>0.63</v>
      </c>
      <c r="H93" s="83"/>
      <c r="I93" s="201" t="s">
        <v>103</v>
      </c>
      <c r="J93" s="202"/>
      <c r="K93" s="105">
        <f>D101</f>
        <v>54.5</v>
      </c>
      <c r="L93" s="131">
        <f>E101</f>
        <v>59</v>
      </c>
      <c r="M93" s="132">
        <f>G101</f>
        <v>16.630000000000003</v>
      </c>
      <c r="N93" s="99"/>
      <c r="O93" s="99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  <c r="AM93" s="100"/>
      <c r="AN93" s="100"/>
      <c r="AO93" s="100"/>
      <c r="AP93" s="100"/>
      <c r="AQ93" s="100"/>
    </row>
    <row r="94" spans="1:43" hidden="1">
      <c r="A94" s="81"/>
      <c r="B94" s="109" t="s">
        <v>23</v>
      </c>
      <c r="C94" s="110"/>
      <c r="D94" s="111"/>
      <c r="E94" s="112"/>
      <c r="F94" s="113"/>
      <c r="G94" s="114"/>
      <c r="H94" s="83"/>
      <c r="I94" s="133"/>
      <c r="J94" s="118"/>
      <c r="K94" s="118"/>
      <c r="L94" s="118"/>
      <c r="M94" s="134"/>
      <c r="N94" s="99"/>
      <c r="O94" s="99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  <c r="AM94" s="100"/>
      <c r="AN94" s="100"/>
      <c r="AO94" s="100"/>
      <c r="AP94" s="100"/>
      <c r="AQ94" s="100"/>
    </row>
    <row r="95" spans="1:43">
      <c r="A95" s="81"/>
      <c r="B95" s="193" t="s">
        <v>70</v>
      </c>
      <c r="C95" s="194"/>
      <c r="D95" s="111">
        <f>DSUM($D$6:$J$65,$J$6,$B94:B$95)</f>
        <v>3</v>
      </c>
      <c r="E95" s="112">
        <f>DSUM($D$6:$I$65,$I$6,$B94:B$95)</f>
        <v>4</v>
      </c>
      <c r="F95" s="113"/>
      <c r="G95" s="114">
        <f>DSUM($D$6:$J$64,$E$6,$B$94:C95)</f>
        <v>0.92999999999999994</v>
      </c>
      <c r="H95" s="83"/>
      <c r="I95" s="203" t="s">
        <v>36</v>
      </c>
      <c r="J95" s="204"/>
      <c r="K95" s="117">
        <f>K69+K75+K79+K85+K77+K81+K83</f>
        <v>11.5</v>
      </c>
      <c r="L95" s="117">
        <f>L69+L75+L81+L79+L85</f>
        <v>12</v>
      </c>
      <c r="M95" s="119">
        <f>M69+M75+M77+M79+M81+M85</f>
        <v>3.5799999999999996</v>
      </c>
      <c r="N95" s="99"/>
      <c r="O95" s="99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  <c r="AM95" s="100"/>
      <c r="AN95" s="100"/>
      <c r="AO95" s="100"/>
      <c r="AP95" s="100"/>
      <c r="AQ95" s="100"/>
    </row>
    <row r="96" spans="1:43" ht="12.75" hidden="1" customHeight="1">
      <c r="A96" s="81"/>
      <c r="B96" s="109" t="s">
        <v>23</v>
      </c>
      <c r="C96" s="110"/>
      <c r="D96" s="111"/>
      <c r="E96" s="112"/>
      <c r="F96" s="113"/>
      <c r="G96" s="114"/>
      <c r="H96" s="83"/>
      <c r="I96" s="133"/>
      <c r="J96" s="118"/>
      <c r="K96" s="118"/>
      <c r="L96" s="118"/>
      <c r="M96" s="134"/>
      <c r="N96" s="99"/>
      <c r="O96" s="99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  <c r="AN96" s="100"/>
      <c r="AO96" s="100"/>
      <c r="AP96" s="100"/>
      <c r="AQ96" s="100"/>
    </row>
    <row r="97" spans="1:43">
      <c r="A97" s="81"/>
      <c r="B97" s="193" t="s">
        <v>104</v>
      </c>
      <c r="C97" s="194"/>
      <c r="D97" s="111">
        <f>DSUM($D$6:$J$65,$J$6,$B96:B$97)</f>
        <v>0</v>
      </c>
      <c r="E97" s="111">
        <f>DSUM($D$6:$J$65,$J$6,$B96:C$97)</f>
        <v>0</v>
      </c>
      <c r="F97" s="113"/>
      <c r="G97" s="114">
        <f>DSUM($D$6:$J$64,$E$6,$B$96:C97)</f>
        <v>0</v>
      </c>
      <c r="H97" s="83"/>
      <c r="I97" s="203" t="s">
        <v>105</v>
      </c>
      <c r="J97" s="204"/>
      <c r="K97" s="117">
        <f>K73</f>
        <v>4.5</v>
      </c>
      <c r="L97" s="117">
        <f>L73</f>
        <v>4</v>
      </c>
      <c r="M97" s="119">
        <f t="shared" ref="M97" si="67">M73</f>
        <v>1.2799999999999998</v>
      </c>
      <c r="N97" s="99"/>
      <c r="O97" s="99"/>
      <c r="P97" s="83"/>
      <c r="Q97" s="99"/>
      <c r="R97" s="99"/>
      <c r="S97" s="99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00"/>
      <c r="AO97" s="100"/>
      <c r="AP97" s="100"/>
      <c r="AQ97" s="100"/>
    </row>
    <row r="98" spans="1:43" ht="12.75" hidden="1" customHeight="1">
      <c r="A98" s="81"/>
      <c r="B98" s="109" t="s">
        <v>23</v>
      </c>
      <c r="C98" s="110"/>
      <c r="D98" s="111"/>
      <c r="E98" s="112"/>
      <c r="F98" s="113"/>
      <c r="G98" s="114"/>
      <c r="H98" s="83"/>
      <c r="I98" s="133"/>
      <c r="J98" s="118"/>
      <c r="K98" s="118"/>
      <c r="L98" s="118"/>
      <c r="M98" s="134"/>
      <c r="N98" s="99"/>
      <c r="O98" s="99"/>
      <c r="P98" s="83"/>
      <c r="Q98" s="99"/>
      <c r="R98" s="99"/>
      <c r="S98" s="99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00"/>
      <c r="AO98" s="100"/>
      <c r="AP98" s="100"/>
      <c r="AQ98" s="100"/>
    </row>
    <row r="99" spans="1:43" ht="15.75" thickBot="1">
      <c r="A99" s="81"/>
      <c r="B99" s="193" t="s">
        <v>106</v>
      </c>
      <c r="C99" s="194"/>
      <c r="D99" s="111">
        <f>DSUM($D$6:$J$65,$J$6,$B98:B$99)</f>
        <v>0</v>
      </c>
      <c r="E99" s="111">
        <f>DSUM($D$6:$J$65,$J$6,$B98:C$99)</f>
        <v>0</v>
      </c>
      <c r="F99" s="113"/>
      <c r="G99" s="114">
        <f>DSUM($D$6:$J$64,$E$6,$B98:C$99)</f>
        <v>0</v>
      </c>
      <c r="H99" s="83"/>
      <c r="I99" s="199" t="s">
        <v>107</v>
      </c>
      <c r="J99" s="200"/>
      <c r="K99" s="120">
        <f>K71</f>
        <v>4</v>
      </c>
      <c r="L99" s="120">
        <f t="shared" ref="L99" si="68">L71</f>
        <v>4</v>
      </c>
      <c r="M99" s="122">
        <f>M71</f>
        <v>1.5499999999999998</v>
      </c>
      <c r="N99" s="99"/>
      <c r="O99" s="99"/>
      <c r="P99" s="83"/>
      <c r="Q99" s="99"/>
      <c r="R99" s="99"/>
      <c r="S99" s="99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  <c r="AM99" s="100"/>
      <c r="AN99" s="100"/>
      <c r="AO99" s="100"/>
      <c r="AP99" s="100"/>
      <c r="AQ99" s="100"/>
    </row>
    <row r="100" spans="1:43" ht="15.75" hidden="1" thickBot="1">
      <c r="A100" s="81"/>
      <c r="B100" s="109" t="s">
        <v>23</v>
      </c>
      <c r="C100" s="110"/>
      <c r="D100" s="111"/>
      <c r="E100" s="112"/>
      <c r="F100" s="113"/>
      <c r="G100" s="114"/>
      <c r="H100" s="83"/>
      <c r="I100" s="135"/>
      <c r="J100" s="135"/>
      <c r="K100" s="135"/>
      <c r="L100" s="135"/>
      <c r="M100" s="135"/>
      <c r="N100" s="99"/>
      <c r="O100" s="99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  <c r="AM100" s="100"/>
      <c r="AN100" s="100"/>
      <c r="AO100" s="100"/>
      <c r="AP100" s="100"/>
      <c r="AQ100" s="100"/>
    </row>
    <row r="101" spans="1:43" ht="15.75" thickBot="1">
      <c r="A101" s="81"/>
      <c r="B101" s="124" t="s">
        <v>99</v>
      </c>
      <c r="C101" s="125"/>
      <c r="D101" s="136">
        <f>SUM(D69:D100)</f>
        <v>54.5</v>
      </c>
      <c r="E101" s="126">
        <f>SUM(E69:E100)</f>
        <v>59</v>
      </c>
      <c r="F101" s="137"/>
      <c r="G101" s="127">
        <f>SUM(G69:G100)</f>
        <v>16.630000000000003</v>
      </c>
      <c r="H101" s="83"/>
      <c r="I101" s="124" t="s">
        <v>99</v>
      </c>
      <c r="J101" s="138"/>
      <c r="K101" s="126">
        <f>K87+D101</f>
        <v>74.5</v>
      </c>
      <c r="L101" s="126">
        <f>L87+E101</f>
        <v>79</v>
      </c>
      <c r="M101" s="127">
        <f>M87+G101</f>
        <v>23.040000000000003</v>
      </c>
      <c r="N101" s="99"/>
      <c r="O101" s="99"/>
      <c r="P101" s="83"/>
      <c r="Q101" s="99"/>
      <c r="R101" s="99"/>
      <c r="S101" s="99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  <c r="AO101" s="100"/>
      <c r="AP101" s="100"/>
      <c r="AQ101" s="100"/>
    </row>
    <row r="102" spans="1:43">
      <c r="A102" s="81"/>
      <c r="H102" s="83"/>
      <c r="I102" s="99"/>
      <c r="J102" s="83"/>
      <c r="K102" s="99"/>
      <c r="L102" s="99"/>
      <c r="M102" s="83"/>
      <c r="N102" s="99"/>
      <c r="O102" s="99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00"/>
      <c r="AO102" s="100"/>
      <c r="AP102" s="100"/>
      <c r="AQ102" s="100"/>
    </row>
    <row r="103" spans="1:43">
      <c r="A103" s="81"/>
      <c r="H103" s="83"/>
      <c r="I103" s="99"/>
      <c r="J103" s="83"/>
      <c r="K103" s="99"/>
      <c r="L103" s="99"/>
      <c r="M103" s="83"/>
      <c r="N103" s="99"/>
      <c r="O103" s="99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100"/>
      <c r="AN103" s="100"/>
      <c r="AO103" s="100"/>
      <c r="AP103" s="100"/>
      <c r="AQ103" s="100"/>
    </row>
    <row r="104" spans="1:43">
      <c r="A104" s="81"/>
      <c r="H104" s="83"/>
      <c r="I104" s="99"/>
      <c r="J104" s="83"/>
      <c r="K104" s="99"/>
      <c r="L104" s="99"/>
      <c r="M104" s="83"/>
      <c r="N104" s="99"/>
      <c r="O104" s="99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  <c r="AM104" s="100"/>
      <c r="AN104" s="100"/>
      <c r="AO104" s="100"/>
      <c r="AP104" s="100"/>
      <c r="AQ104" s="100"/>
    </row>
    <row r="105" spans="1:43">
      <c r="A105" s="81"/>
      <c r="H105" s="83"/>
      <c r="I105" s="99"/>
      <c r="J105" s="83"/>
      <c r="K105" s="99"/>
      <c r="L105" s="99"/>
      <c r="M105" s="83"/>
      <c r="N105" s="99"/>
      <c r="O105" s="99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100"/>
      <c r="AN105" s="100"/>
      <c r="AO105" s="100"/>
      <c r="AP105" s="100"/>
      <c r="AQ105" s="100"/>
    </row>
    <row r="106" spans="1:43">
      <c r="A106" s="81"/>
      <c r="H106" s="83"/>
      <c r="I106" s="99"/>
      <c r="J106" s="83"/>
      <c r="K106" s="99"/>
      <c r="L106" s="99"/>
      <c r="M106" s="83"/>
      <c r="N106" s="99"/>
      <c r="O106" s="99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100"/>
      <c r="AN106" s="100"/>
      <c r="AO106" s="100"/>
      <c r="AP106" s="100"/>
      <c r="AQ106" s="100"/>
    </row>
    <row r="107" spans="1:43">
      <c r="A107" s="81"/>
      <c r="H107" s="83"/>
      <c r="I107" s="99"/>
      <c r="J107" s="83"/>
      <c r="K107" s="99"/>
      <c r="L107" s="99"/>
      <c r="M107" s="83"/>
      <c r="N107" s="99"/>
      <c r="O107" s="99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  <c r="AM107" s="100"/>
      <c r="AN107" s="100"/>
      <c r="AO107" s="100"/>
      <c r="AP107" s="100"/>
      <c r="AQ107" s="100"/>
    </row>
    <row r="108" spans="1:43">
      <c r="A108" s="81"/>
      <c r="H108" s="83"/>
      <c r="I108" s="99"/>
      <c r="J108" s="83"/>
      <c r="K108" s="99"/>
      <c r="L108" s="99"/>
      <c r="M108" s="83"/>
      <c r="N108" s="99"/>
      <c r="O108" s="99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  <c r="AM108" s="100"/>
      <c r="AN108" s="100"/>
      <c r="AO108" s="100"/>
      <c r="AP108" s="100"/>
      <c r="AQ108" s="100"/>
    </row>
    <row r="109" spans="1:43">
      <c r="A109" s="81"/>
      <c r="H109" s="83"/>
      <c r="I109" s="99"/>
      <c r="J109" s="83"/>
      <c r="K109" s="99"/>
      <c r="L109" s="99"/>
      <c r="M109" s="83"/>
      <c r="N109" s="99"/>
      <c r="O109" s="99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100"/>
      <c r="AN109" s="100"/>
      <c r="AO109" s="100"/>
      <c r="AP109" s="100"/>
      <c r="AQ109" s="100"/>
    </row>
    <row r="110" spans="1:43">
      <c r="A110" s="81"/>
      <c r="H110" s="83"/>
      <c r="K110" s="99"/>
      <c r="L110" s="99"/>
      <c r="M110" s="83"/>
      <c r="N110" s="99"/>
      <c r="O110" s="99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100"/>
      <c r="AN110" s="100"/>
      <c r="AO110" s="100"/>
      <c r="AP110" s="100"/>
      <c r="AQ110" s="100"/>
    </row>
    <row r="111" spans="1:43">
      <c r="H111" s="139"/>
      <c r="K111" s="99"/>
      <c r="L111" s="99"/>
      <c r="M111" s="83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  <c r="AM111" s="100"/>
      <c r="AN111" s="100"/>
      <c r="AO111" s="100"/>
      <c r="AP111" s="100"/>
      <c r="AQ111" s="100"/>
    </row>
    <row r="112" spans="1:43">
      <c r="H112" s="139"/>
      <c r="I112" s="99"/>
      <c r="J112" s="83"/>
      <c r="K112" s="99"/>
      <c r="L112" s="99"/>
      <c r="M112" s="83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  <c r="AM112" s="100"/>
      <c r="AN112" s="100"/>
      <c r="AO112" s="100"/>
      <c r="AP112" s="100"/>
      <c r="AQ112" s="100"/>
    </row>
    <row r="113" spans="8:43">
      <c r="H113" s="139"/>
      <c r="I113" s="99"/>
      <c r="J113" s="83"/>
      <c r="K113" s="99"/>
      <c r="L113" s="99"/>
      <c r="M113" s="83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  <c r="AM113" s="100"/>
      <c r="AN113" s="100"/>
      <c r="AO113" s="100"/>
      <c r="AP113" s="100"/>
      <c r="AQ113" s="100"/>
    </row>
    <row r="114" spans="8:43">
      <c r="H114" s="139"/>
      <c r="I114" s="99"/>
      <c r="J114" s="83"/>
      <c r="K114" s="99"/>
      <c r="L114" s="99"/>
      <c r="M114" s="83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  <c r="AM114" s="100"/>
      <c r="AN114" s="100"/>
      <c r="AO114" s="100"/>
      <c r="AP114" s="100"/>
      <c r="AQ114" s="100"/>
    </row>
    <row r="115" spans="8:43">
      <c r="H115" s="139"/>
      <c r="I115" s="99"/>
      <c r="J115" s="83"/>
      <c r="K115" s="99"/>
      <c r="L115" s="99"/>
      <c r="M115" s="139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  <c r="AM115" s="100"/>
      <c r="AN115" s="100"/>
      <c r="AO115" s="100"/>
      <c r="AP115" s="100"/>
      <c r="AQ115" s="100"/>
    </row>
    <row r="116" spans="8:43">
      <c r="H116" s="139"/>
      <c r="I116" s="99"/>
      <c r="J116" s="83"/>
      <c r="K116" s="99"/>
      <c r="L116" s="99"/>
      <c r="M116" s="139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</row>
    <row r="117" spans="8:43">
      <c r="H117" s="139"/>
      <c r="I117" s="99"/>
      <c r="J117" s="83"/>
      <c r="K117" s="99"/>
      <c r="L117" s="99"/>
      <c r="M117" s="139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  <c r="AQ117" s="100"/>
    </row>
    <row r="118" spans="8:43">
      <c r="H118" s="139"/>
      <c r="I118" s="99"/>
      <c r="J118" s="83"/>
      <c r="K118" s="99"/>
      <c r="L118" s="99"/>
      <c r="M118" s="139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  <c r="AN118" s="100"/>
      <c r="AO118" s="100"/>
      <c r="AP118" s="100"/>
      <c r="AQ118" s="100"/>
    </row>
    <row r="119" spans="8:43">
      <c r="H119" s="139"/>
      <c r="I119" s="99"/>
      <c r="J119" s="83"/>
      <c r="K119" s="99"/>
      <c r="L119" s="99"/>
      <c r="M119" s="139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  <c r="AQ119" s="100"/>
    </row>
    <row r="120" spans="8:43">
      <c r="H120" s="139"/>
      <c r="I120" s="99"/>
      <c r="J120" s="83"/>
      <c r="K120" s="99"/>
      <c r="L120" s="99"/>
      <c r="M120" s="139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</row>
    <row r="121" spans="8:43">
      <c r="H121" s="139"/>
      <c r="I121" s="99"/>
      <c r="J121" s="83"/>
      <c r="K121" s="99"/>
      <c r="L121" s="99"/>
      <c r="M121" s="139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</row>
    <row r="122" spans="8:43">
      <c r="H122" s="139"/>
      <c r="I122" s="99"/>
      <c r="J122" s="83"/>
      <c r="K122" s="99"/>
      <c r="L122" s="99"/>
      <c r="M122" s="139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100"/>
      <c r="AQ122" s="100"/>
    </row>
    <row r="123" spans="8:43">
      <c r="H123" s="139"/>
      <c r="I123" s="99"/>
      <c r="J123" s="83"/>
      <c r="K123" s="99"/>
      <c r="L123" s="99"/>
      <c r="M123" s="139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0"/>
      <c r="AQ123" s="100"/>
    </row>
    <row r="124" spans="8:43">
      <c r="H124" s="139"/>
      <c r="I124" s="99"/>
      <c r="J124" s="83"/>
      <c r="K124" s="99"/>
      <c r="L124" s="99"/>
      <c r="M124" s="139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  <c r="AQ124" s="100"/>
    </row>
    <row r="125" spans="8:43">
      <c r="H125" s="139"/>
      <c r="I125" s="99"/>
      <c r="J125" s="83"/>
      <c r="K125" s="99"/>
      <c r="L125" s="99"/>
      <c r="M125" s="139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  <c r="AO125" s="100"/>
      <c r="AP125" s="100"/>
      <c r="AQ125" s="100"/>
    </row>
    <row r="126" spans="8:43">
      <c r="H126" s="139"/>
      <c r="I126" s="99"/>
      <c r="J126" s="83"/>
      <c r="K126" s="99"/>
      <c r="L126" s="99"/>
      <c r="M126" s="139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</row>
    <row r="127" spans="8:43">
      <c r="H127" s="139"/>
      <c r="I127" s="99"/>
      <c r="J127" s="83"/>
      <c r="K127" s="99"/>
      <c r="L127" s="99"/>
      <c r="M127" s="139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</row>
    <row r="128" spans="8:43">
      <c r="H128" s="139"/>
      <c r="I128" s="99"/>
      <c r="J128" s="83"/>
      <c r="K128" s="99"/>
      <c r="L128" s="99"/>
      <c r="M128" s="139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  <c r="AQ128" s="100"/>
    </row>
    <row r="129" spans="8:43">
      <c r="H129" s="139"/>
      <c r="I129" s="99"/>
      <c r="J129" s="83"/>
      <c r="K129" s="99"/>
      <c r="L129" s="99"/>
      <c r="M129" s="139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  <c r="AQ129" s="100"/>
    </row>
    <row r="130" spans="8:43">
      <c r="H130" s="139"/>
      <c r="I130" s="99"/>
      <c r="J130" s="83"/>
      <c r="K130" s="99"/>
      <c r="L130" s="99"/>
      <c r="M130" s="139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  <c r="AQ130" s="100"/>
    </row>
    <row r="131" spans="8:43">
      <c r="H131" s="139"/>
      <c r="I131" s="99"/>
      <c r="J131" s="83"/>
      <c r="K131" s="99"/>
      <c r="L131" s="99"/>
      <c r="M131" s="139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</row>
    <row r="132" spans="8:43">
      <c r="H132" s="139"/>
      <c r="I132" s="99"/>
      <c r="J132" s="83"/>
      <c r="K132" s="99"/>
      <c r="L132" s="99"/>
      <c r="M132" s="139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  <c r="AQ132" s="100"/>
    </row>
    <row r="133" spans="8:43">
      <c r="H133" s="139"/>
      <c r="I133" s="99"/>
      <c r="J133" s="83"/>
      <c r="K133" s="99"/>
      <c r="L133" s="99"/>
      <c r="M133" s="139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  <c r="AQ133" s="100"/>
    </row>
    <row r="134" spans="8:43">
      <c r="H134" s="139"/>
      <c r="I134" s="99"/>
      <c r="J134" s="83"/>
      <c r="K134" s="99"/>
      <c r="L134" s="99"/>
      <c r="M134" s="139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  <c r="AQ134" s="100"/>
    </row>
    <row r="135" spans="8:43">
      <c r="H135" s="139"/>
      <c r="I135" s="99"/>
      <c r="J135" s="83"/>
      <c r="K135" s="99"/>
      <c r="L135" s="99"/>
      <c r="M135" s="139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  <c r="AM135" s="100"/>
      <c r="AN135" s="100"/>
      <c r="AO135" s="100"/>
      <c r="AP135" s="100"/>
      <c r="AQ135" s="100"/>
    </row>
    <row r="136" spans="8:43">
      <c r="H136" s="139"/>
      <c r="I136" s="100"/>
      <c r="J136" s="139"/>
      <c r="K136" s="100"/>
      <c r="L136" s="100"/>
      <c r="M136" s="139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  <c r="AM136" s="100"/>
      <c r="AN136" s="100"/>
      <c r="AO136" s="100"/>
      <c r="AP136" s="100"/>
      <c r="AQ136" s="100"/>
    </row>
    <row r="137" spans="8:43">
      <c r="H137" s="139"/>
      <c r="I137" s="100"/>
      <c r="J137" s="139"/>
      <c r="K137" s="100"/>
      <c r="L137" s="100"/>
      <c r="M137" s="139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  <c r="AQ137" s="100"/>
    </row>
    <row r="138" spans="8:43">
      <c r="H138" s="139"/>
      <c r="I138" s="100"/>
      <c r="J138" s="139"/>
      <c r="K138" s="100"/>
      <c r="L138" s="100"/>
      <c r="M138" s="139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  <c r="AN138" s="100"/>
      <c r="AO138" s="100"/>
      <c r="AP138" s="100"/>
      <c r="AQ138" s="100"/>
    </row>
    <row r="139" spans="8:43">
      <c r="H139" s="139"/>
      <c r="I139" s="100"/>
      <c r="J139" s="139"/>
      <c r="K139" s="100"/>
      <c r="L139" s="100"/>
      <c r="M139" s="139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  <c r="AN139" s="100"/>
      <c r="AO139" s="100"/>
      <c r="AP139" s="100"/>
      <c r="AQ139" s="100"/>
    </row>
    <row r="140" spans="8:43">
      <c r="H140" s="139"/>
      <c r="I140" s="100"/>
      <c r="J140" s="139"/>
      <c r="K140" s="100"/>
      <c r="L140" s="100"/>
      <c r="M140" s="139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  <c r="AQ140" s="100"/>
    </row>
    <row r="141" spans="8:43">
      <c r="H141" s="139"/>
      <c r="I141" s="100"/>
      <c r="J141" s="139"/>
      <c r="K141" s="100"/>
      <c r="L141" s="100"/>
      <c r="M141" s="139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  <c r="AQ141" s="100"/>
    </row>
    <row r="142" spans="8:43">
      <c r="H142" s="139"/>
      <c r="I142" s="100"/>
      <c r="J142" s="139"/>
      <c r="K142" s="100"/>
      <c r="L142" s="100"/>
      <c r="M142" s="139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  <c r="AM142" s="100"/>
      <c r="AN142" s="100"/>
      <c r="AO142" s="100"/>
      <c r="AP142" s="100"/>
      <c r="AQ142" s="100"/>
    </row>
    <row r="143" spans="8:43">
      <c r="H143" s="139"/>
      <c r="I143" s="100"/>
      <c r="J143" s="139"/>
      <c r="K143" s="100"/>
      <c r="L143" s="100"/>
      <c r="M143" s="139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  <c r="AQ143" s="100"/>
    </row>
    <row r="144" spans="8:43">
      <c r="H144" s="139"/>
      <c r="I144" s="100"/>
      <c r="J144" s="139"/>
      <c r="K144" s="100"/>
      <c r="L144" s="100"/>
      <c r="M144" s="139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</row>
    <row r="145" spans="8:43">
      <c r="H145" s="139"/>
      <c r="I145" s="100"/>
      <c r="J145" s="139"/>
      <c r="K145" s="100"/>
      <c r="L145" s="100"/>
      <c r="M145" s="139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</row>
    <row r="146" spans="8:43">
      <c r="H146" s="139"/>
      <c r="I146" s="100"/>
      <c r="J146" s="139"/>
      <c r="K146" s="100"/>
      <c r="L146" s="100"/>
      <c r="M146" s="139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100"/>
      <c r="AQ146" s="100"/>
    </row>
    <row r="147" spans="8:43">
      <c r="H147" s="139"/>
      <c r="I147" s="100"/>
      <c r="J147" s="139"/>
      <c r="K147" s="100"/>
      <c r="L147" s="100"/>
      <c r="M147" s="139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</row>
    <row r="148" spans="8:43">
      <c r="H148" s="139"/>
      <c r="I148" s="100"/>
      <c r="J148" s="139"/>
      <c r="K148" s="100"/>
      <c r="L148" s="100"/>
      <c r="M148" s="139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</row>
    <row r="149" spans="8:43">
      <c r="H149" s="139"/>
      <c r="I149" s="100"/>
      <c r="J149" s="139"/>
      <c r="K149" s="100"/>
      <c r="L149" s="100"/>
      <c r="M149" s="139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100"/>
      <c r="AQ149" s="100"/>
    </row>
    <row r="150" spans="8:43">
      <c r="H150" s="139"/>
      <c r="I150" s="100"/>
      <c r="J150" s="139"/>
      <c r="K150" s="100"/>
      <c r="L150" s="100"/>
      <c r="M150" s="139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  <c r="AQ150" s="100"/>
    </row>
    <row r="151" spans="8:43">
      <c r="H151" s="139"/>
      <c r="I151" s="100"/>
      <c r="J151" s="139"/>
      <c r="K151" s="100"/>
      <c r="L151" s="100"/>
      <c r="M151" s="139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  <c r="AQ151" s="100"/>
    </row>
    <row r="152" spans="8:43">
      <c r="H152" s="139"/>
      <c r="I152" s="100"/>
      <c r="J152" s="139"/>
      <c r="K152" s="100"/>
      <c r="L152" s="100"/>
      <c r="M152" s="139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  <c r="AQ152" s="100"/>
    </row>
    <row r="153" spans="8:43">
      <c r="H153" s="139"/>
      <c r="I153" s="100"/>
      <c r="J153" s="139"/>
      <c r="K153" s="100"/>
      <c r="L153" s="100"/>
      <c r="M153" s="139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</row>
    <row r="154" spans="8:43">
      <c r="H154" s="139"/>
      <c r="I154" s="100"/>
      <c r="J154" s="139"/>
      <c r="K154" s="100"/>
      <c r="L154" s="100"/>
      <c r="M154" s="139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</row>
    <row r="155" spans="8:43">
      <c r="H155" s="139"/>
      <c r="I155" s="100"/>
      <c r="J155" s="139"/>
      <c r="K155" s="100"/>
      <c r="L155" s="100"/>
      <c r="M155" s="139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  <c r="AQ155" s="100"/>
    </row>
    <row r="156" spans="8:43">
      <c r="I156" s="100"/>
      <c r="J156" s="139"/>
      <c r="K156" s="100"/>
      <c r="L156" s="100"/>
      <c r="M156" s="139"/>
    </row>
    <row r="157" spans="8:43">
      <c r="I157" s="100"/>
      <c r="J157" s="139"/>
      <c r="K157" s="100"/>
      <c r="L157" s="100"/>
      <c r="M157" s="139"/>
    </row>
    <row r="158" spans="8:43">
      <c r="I158" s="100"/>
      <c r="J158" s="139"/>
      <c r="K158" s="100"/>
      <c r="L158" s="100"/>
      <c r="M158" s="139"/>
    </row>
    <row r="159" spans="8:43">
      <c r="I159" s="100"/>
      <c r="J159" s="139"/>
      <c r="K159" s="100"/>
      <c r="L159" s="100"/>
      <c r="M159" s="139"/>
    </row>
  </sheetData>
  <mergeCells count="107">
    <mergeCell ref="B50:C50"/>
    <mergeCell ref="B23:C23"/>
    <mergeCell ref="B39:C39"/>
    <mergeCell ref="B40:C40"/>
    <mergeCell ref="B41:C41"/>
    <mergeCell ref="B42:C42"/>
    <mergeCell ref="B99:C99"/>
    <mergeCell ref="I99:J99"/>
    <mergeCell ref="B93:C93"/>
    <mergeCell ref="I93:J93"/>
    <mergeCell ref="B95:C95"/>
    <mergeCell ref="I95:J95"/>
    <mergeCell ref="B97:C97"/>
    <mergeCell ref="I97:J97"/>
    <mergeCell ref="B85:C85"/>
    <mergeCell ref="I85:J85"/>
    <mergeCell ref="B87:C87"/>
    <mergeCell ref="B89:C89"/>
    <mergeCell ref="B91:C91"/>
    <mergeCell ref="I91:M91"/>
    <mergeCell ref="I84:J84"/>
    <mergeCell ref="B75:C75"/>
    <mergeCell ref="I75:J75"/>
    <mergeCell ref="B77:C77"/>
    <mergeCell ref="I77:J77"/>
    <mergeCell ref="B79:C79"/>
    <mergeCell ref="I79:J79"/>
    <mergeCell ref="B81:C81"/>
    <mergeCell ref="I81:J81"/>
    <mergeCell ref="I82:J82"/>
    <mergeCell ref="B83:C83"/>
    <mergeCell ref="I83:J83"/>
    <mergeCell ref="B69:C69"/>
    <mergeCell ref="I69:J69"/>
    <mergeCell ref="B71:C71"/>
    <mergeCell ref="I71:J71"/>
    <mergeCell ref="B73:C73"/>
    <mergeCell ref="I73:J73"/>
    <mergeCell ref="I67:J67"/>
    <mergeCell ref="B51:C51"/>
    <mergeCell ref="B52:C52"/>
    <mergeCell ref="B53:C53"/>
    <mergeCell ref="B54:C54"/>
    <mergeCell ref="B55:C55"/>
    <mergeCell ref="B57:C57"/>
    <mergeCell ref="B58:C58"/>
    <mergeCell ref="B59:C59"/>
    <mergeCell ref="B63:C63"/>
    <mergeCell ref="B64:C64"/>
    <mergeCell ref="B67:C67"/>
    <mergeCell ref="B56:C56"/>
    <mergeCell ref="B60:C60"/>
    <mergeCell ref="B61:C61"/>
    <mergeCell ref="B62:C62"/>
    <mergeCell ref="B49:C49"/>
    <mergeCell ref="B33:C33"/>
    <mergeCell ref="B34:C34"/>
    <mergeCell ref="B35:C35"/>
    <mergeCell ref="B36:C36"/>
    <mergeCell ref="B37:C37"/>
    <mergeCell ref="B38:C38"/>
    <mergeCell ref="B43:C43"/>
    <mergeCell ref="B45:C45"/>
    <mergeCell ref="B46:C46"/>
    <mergeCell ref="B47:C47"/>
    <mergeCell ref="B48:C48"/>
    <mergeCell ref="B44:C44"/>
    <mergeCell ref="B32:C32"/>
    <mergeCell ref="B19:C19"/>
    <mergeCell ref="B24:C24"/>
    <mergeCell ref="B20:C20"/>
    <mergeCell ref="B26:C26"/>
    <mergeCell ref="B28:C28"/>
    <mergeCell ref="B29:C29"/>
    <mergeCell ref="B30:C30"/>
    <mergeCell ref="B31:C31"/>
    <mergeCell ref="B27:C27"/>
    <mergeCell ref="B21:C21"/>
    <mergeCell ref="B25:C25"/>
    <mergeCell ref="B22:C22"/>
    <mergeCell ref="B8:C8"/>
    <mergeCell ref="B9:C9"/>
    <mergeCell ref="G5:H5"/>
    <mergeCell ref="A6:A7"/>
    <mergeCell ref="B6:C7"/>
    <mergeCell ref="D6:D7"/>
    <mergeCell ref="E6:E7"/>
    <mergeCell ref="F6:F7"/>
    <mergeCell ref="B18:C18"/>
    <mergeCell ref="B10:C10"/>
    <mergeCell ref="B11:C11"/>
    <mergeCell ref="B12:C12"/>
    <mergeCell ref="B13:C13"/>
    <mergeCell ref="B14:C14"/>
    <mergeCell ref="B15:C15"/>
    <mergeCell ref="B16:C16"/>
    <mergeCell ref="B17:C17"/>
    <mergeCell ref="G4:H4"/>
    <mergeCell ref="A1:E1"/>
    <mergeCell ref="F1:M1"/>
    <mergeCell ref="C2:D2"/>
    <mergeCell ref="G2:M2"/>
    <mergeCell ref="G3:H3"/>
    <mergeCell ref="I6:I7"/>
    <mergeCell ref="J6:J7"/>
    <mergeCell ref="L6:L7"/>
    <mergeCell ref="M6:M7"/>
  </mergeCells>
  <conditionalFormatting sqref="G101:H101 G138:I144 G122:H122 G159:I165">
    <cfRule type="cellIs" dxfId="2" priority="3" stopIfTrue="1" operator="equal">
      <formula>0</formula>
    </cfRule>
  </conditionalFormatting>
  <conditionalFormatting sqref="AE45:AE46 AE28:AE30 AE14:AE26">
    <cfRule type="cellIs" dxfId="1" priority="2" stopIfTrue="1" operator="equal">
      <formula>$AL$10</formula>
    </cfRule>
  </conditionalFormatting>
  <conditionalFormatting sqref="AC45:AC46 AC28:AC30 AC14:AC26">
    <cfRule type="cellIs" dxfId="0" priority="1" stopIfTrue="1" operator="equal">
      <formula>$AH$16</formula>
    </cfRule>
  </conditionalFormatting>
  <pageMargins left="0.27" right="0.31" top="0.31" bottom="0.42" header="0.3" footer="0.3"/>
  <pageSetup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45PW219;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</dc:creator>
  <cp:lastModifiedBy>IE</cp:lastModifiedBy>
  <cp:lastPrinted>2018-10-19T08:31:02Z</cp:lastPrinted>
  <dcterms:created xsi:type="dcterms:W3CDTF">2018-10-16T06:41:00Z</dcterms:created>
  <dcterms:modified xsi:type="dcterms:W3CDTF">2019-03-07T09:31:59Z</dcterms:modified>
</cp:coreProperties>
</file>